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93e15e2f2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6196c2ba3c49eb"/>
    <x:sheet xmlns:r="http://schemas.openxmlformats.org/officeDocument/2006/relationships" name="Assumptions" sheetId="2" r:id="R312e489214d6406a"/>
    <x:sheet xmlns:r="http://schemas.openxmlformats.org/officeDocument/2006/relationships" name="Operating Build" sheetId="3" r:id="R3aa0500f351c4406"/>
    <x:sheet xmlns:r="http://schemas.openxmlformats.org/officeDocument/2006/relationships" name="Revenue Build" sheetId="4" r:id="R4bd9b275780c4a6c"/>
    <x:sheet xmlns:r="http://schemas.openxmlformats.org/officeDocument/2006/relationships" name="Cost &amp; Headcount" sheetId="5" r:id="Rd21fd77f05df4516"/>
    <x:sheet xmlns:r="http://schemas.openxmlformats.org/officeDocument/2006/relationships" name="Financials" sheetId="6" r:id="Ra5fb665059394697"/>
    <x:sheet xmlns:r="http://schemas.openxmlformats.org/officeDocument/2006/relationships" name="Scenarios" sheetId="7" r:id="Rc41c1dea661e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0;[Red]($#,##0.00);-"/>
    <x:numFmt numFmtId="201" formatCode="0.0%;[Red](0.0%);-"/>
    <x:numFmt numFmtId="202" formatCode="#,##0;[Red](#,##0);-"/>
    <x:numFmt numFmtId="203" formatCode="#,##0.0;[Red](#,##0.0);-"/>
    <x:numFmt numFmtId="204" formatCode="$#,##0;[Red]($#,##0);-"/>
    <x:numFmt numFmtId="205" formatCode="$#,##0.0;[Red]($#,##0.0);-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4B5563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7F1D1D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1"/>
      <x:color rgb="FF0B1F3A"/>
      <x:name val="Carlito"/>
    </x:font>
    <x:font>
      <x:b/>
      <x:sz val="14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  <x:fill>
      <x:patternFill patternType="solid">
        <x:fgColor rgb="FFFCE8E8"/>
      </x:patternFill>
    </x:fill>
  </x:fills>
  <x:borders count="8">
    <x:border/>
    <x:border/>
    <x:border>
      <x:bottom style="thin">
        <x:color rgb="FFD1D5DB"/>
      </x:bottom>
    </x:border>
    <x:border>
      <x:bottom style="thin">
        <x:color rgb="FFD1D5DB"/>
      </x:bottom>
    </x:border>
    <x:border>
      <x:top style="thin">
        <x:color rgb="FF000000"/>
      </x:top>
    </x:border>
    <x:border>
      <x:top style="thin">
        <x:color rgb="FF000000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0" fontId="8" fillId="4" borderId="1" xfId="0" applyNumberFormat="1" applyFont="1" applyFill="1" applyBorder="1"/>
    <x:xf numFmtId="0" fontId="8" fillId="4" borderId="3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3" fontId="10" fillId="0" borderId="1" xfId="0" applyNumberFormat="1" applyFont="1" applyFill="1" applyBorder="1"/>
    <x:xf numFmtId="201" fontId="10" fillId="0" borderId="1" xfId="0" applyNumberFormat="1" applyFont="1" applyFill="1" applyBorder="1"/>
    <x:xf numFmtId="202" fontId="1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5" fontId="10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200" fontId="10" fillId="0" borderId="0" xfId="0" applyNumberFormat="1" applyFont="1" applyFill="1" applyBorder="1"/>
    <x:xf numFmtId="205" fontId="10" fillId="0" borderId="1" xfId="0" applyNumberFormat="1" applyFont="1" applyFill="1" applyBorder="1"/>
    <x:xf numFmtId="0" fontId="10" fillId="0" borderId="1" xfId="0" applyNumberFormat="1" applyFont="1" applyFill="1" applyBorder="1"/>
    <x:xf numFmtId="0" fontId="11" fillId="2" borderId="1" xfId="0" applyNumberFormat="1" applyFont="1" applyFill="1" applyBorder="1" applyAlignment="1">
      <x:alignment horizontal="left" vertical="center"/>
    </x:xf>
    <x:xf numFmtId="200" fontId="10" fillId="0" borderId="1" xfId="0" applyNumberFormat="1" applyFont="1" applyFill="1" applyBorder="1"/>
    <x:xf numFmtId="0" fontId="7" fillId="0" borderId="0" xfId="0" applyNumberFormat="1" applyFont="1" applyFill="1" applyBorder="1"/>
    <x:xf numFmtId="205" fontId="7" fillId="0" borderId="0" xfId="0" applyNumberFormat="1" applyFont="1" applyFill="1" applyBorder="1"/>
    <x:xf numFmtId="0" fontId="7" fillId="0" borderId="1" xfId="0" applyNumberFormat="1" applyFont="1" applyFill="1" applyBorder="1"/>
    <x:xf numFmtId="205" fontId="7" fillId="0" borderId="1" xfId="0" applyNumberFormat="1" applyFont="1" applyFill="1" applyBorder="1"/>
    <x:xf numFmtId="0" fontId="7" fillId="0" borderId="4" xfId="0" applyNumberFormat="1" applyFont="1" applyFill="1" applyBorder="1"/>
    <x:xf numFmtId="205" fontId="7" fillId="0" borderId="4" xfId="0" applyNumberFormat="1" applyFont="1" applyFill="1" applyBorder="1"/>
    <x:xf numFmtId="0" fontId="7" fillId="0" borderId="5" xfId="0" applyNumberFormat="1" applyFont="1" applyFill="1" applyBorder="1"/>
    <x:xf numFmtId="205" fontId="7" fillId="0" borderId="5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202" fontId="7" fillId="0" borderId="4" xfId="0" applyNumberFormat="1" applyFont="1" applyFill="1" applyBorder="1"/>
    <x:xf numFmtId="202" fontId="7" fillId="0" borderId="5" xfId="0" applyNumberFormat="1" applyFont="1" applyFill="1" applyBorder="1"/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3" fillId="4" borderId="0" xfId="0" applyNumberFormat="1" applyFont="1" applyFill="1" applyBorder="1"/>
    <x:xf numFmtId="0" fontId="13" fillId="4" borderId="6" xfId="0" applyNumberFormat="1" applyFont="1" applyFill="1" applyBorder="1"/>
    <x:xf numFmtId="0" fontId="13" fillId="4" borderId="1" xfId="0" applyNumberFormat="1" applyFont="1" applyFill="1" applyBorder="1"/>
    <x:xf numFmtId="0" fontId="13" fillId="4" borderId="7" xfId="0" applyNumberFormat="1" applyFont="1" applyFill="1" applyBorder="1"/>
    <x:xf numFmtId="203" fontId="13" fillId="4" borderId="6" xfId="0" applyNumberFormat="1" applyFont="1" applyFill="1" applyBorder="1"/>
    <x:xf numFmtId="203" fontId="13" fillId="4" borderId="7" xfId="0" applyNumberFormat="1" applyFont="1" applyFill="1" applyBorder="1"/>
    <x:xf numFmtId="205" fontId="13" fillId="4" borderId="6" xfId="0" applyNumberFormat="1" applyFont="1" applyFill="1" applyBorder="1"/>
    <x:xf numFmtId="205" fontId="13" fillId="4" borderId="7" xfId="0" applyNumberFormat="1" applyFont="1" applyFill="1" applyBorder="1"/>
    <x:xf numFmtId="201" fontId="13" fillId="4" borderId="6" xfId="0" applyNumberFormat="1" applyFont="1" applyFill="1" applyBorder="1"/>
    <x:xf numFmtId="201" fontId="13" fillId="4" borderId="7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7" fillId="0" borderId="4" xfId="0" applyNumberFormat="1" applyFont="1" applyFill="1" applyBorder="1"/>
    <x:xf numFmtId="201" fontId="7" fillId="0" borderId="5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horizontal="left" vertical="center"/>
    </x:xf>
    <x:xf numFmtId="0" fontId="7" fillId="4" borderId="2" xfId="0" applyNumberFormat="1" applyFont="1" applyFill="1" applyBorder="1" applyAlignment="1">
      <x:alignment horizontal="right" vertical="center"/>
    </x:xf>
    <x:xf numFmtId="0" fontId="8" fillId="4" borderId="2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horizontal="left" vertical="center"/>
    </x:xf>
    <x:xf numFmtId="0" fontId="7" fillId="4" borderId="3" xfId="0" applyNumberFormat="1" applyFont="1" applyFill="1" applyBorder="1" applyAlignment="1">
      <x:alignment horizontal="right" vertical="center"/>
    </x:xf>
    <x:xf numFmtId="0" fontId="8" fillId="4" borderId="3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1" xfId="0" applyNumberFormat="1" applyFont="1" applyFill="1" applyBorder="1" applyAlignment="1">
      <x:alignment vertical="center"/>
    </x:xf>
    <x:xf numFmtId="201" fontId="10" fillId="0" borderId="1" xfId="0" applyNumberFormat="1" applyFont="1" applyFill="1" applyBorder="1" applyAlignment="1">
      <x:alignment vertical="center"/>
    </x:xf>
    <x:xf numFmtId="202" fontId="10" fillId="0" borderId="1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5" fontId="7" fillId="0" borderId="4" xfId="0" applyNumberFormat="1" applyFont="1" applyFill="1" applyBorder="1" applyAlignment="1">
      <x:alignment vertical="center"/>
    </x:xf>
    <x:xf numFmtId="205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5" fontId="7" fillId="0" borderId="5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5" fontId="7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7" fillId="4" borderId="2" xfId="0" applyNumberFormat="1" applyFont="1" applyFill="1" applyBorder="1" applyAlignment="1">
      <x:alignment horizontal="left" vertical="center" wrapText="0"/>
    </x:xf>
    <x:xf numFmtId="0" fontId="7" fillId="4" borderId="2" xfId="0" applyNumberFormat="1" applyFont="1" applyFill="1" applyBorder="1" applyAlignment="1">
      <x:alignment horizontal="right" vertical="center" wrapText="0"/>
    </x:xf>
    <x:xf numFmtId="203" fontId="10" fillId="0" borderId="0" xfId="0" applyNumberFormat="1" applyFont="1" applyFill="1" applyBorder="1" applyAlignment="1">
      <x:alignment vertical="center" wrapText="0"/>
    </x:xf>
    <x:xf numFmtId="201" fontId="10" fillId="0" borderId="0" xfId="0" applyNumberFormat="1" applyFont="1" applyFill="1" applyBorder="1" applyAlignment="1">
      <x:alignment vertical="center" wrapText="0"/>
    </x:xf>
    <x:xf numFmtId="202" fontId="10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7" fillId="4" borderId="3" xfId="0" applyNumberFormat="1" applyFont="1" applyFill="1" applyBorder="1" applyAlignment="1">
      <x:alignment horizontal="left" vertical="center" wrapText="0"/>
    </x:xf>
    <x:xf numFmtId="0" fontId="7" fillId="4" borderId="3" xfId="0" applyNumberFormat="1" applyFont="1" applyFill="1" applyBorder="1" applyAlignment="1">
      <x:alignment horizontal="right" vertical="center" wrapText="0"/>
    </x:xf>
    <x:xf numFmtId="203" fontId="10" fillId="0" borderId="1" xfId="0" applyNumberFormat="1" applyFont="1" applyFill="1" applyBorder="1" applyAlignment="1">
      <x:alignment vertical="center" wrapText="0"/>
    </x:xf>
    <x:xf numFmtId="201" fontId="10" fillId="0" borderId="1" xfId="0" applyNumberFormat="1" applyFont="1" applyFill="1" applyBorder="1" applyAlignment="1">
      <x:alignment vertical="center" wrapText="0"/>
    </x:xf>
    <x:xf numFmtId="202" fontId="10" fillId="0" borderId="1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205" fontId="10" fillId="0" borderId="0" xfId="0" applyNumberFormat="1" applyFont="1" applyFill="1" applyBorder="1" applyAlignment="1">
      <x:alignment vertical="center" wrapText="0"/>
    </x:xf>
    <x:xf numFmtId="0" fontId="10" fillId="0" borderId="0" xfId="0" applyNumberFormat="1" applyFont="1" applyFill="1" applyBorder="1" applyAlignment="1">
      <x:alignment vertical="center" wrapText="0"/>
    </x:xf>
    <x:xf numFmtId="0" fontId="11" fillId="2" borderId="0" xfId="0" applyNumberFormat="1" applyFont="1" applyFill="1" applyBorder="1" applyAlignment="1">
      <x:alignment horizontal="left" vertical="center" wrapText="0"/>
    </x:xf>
    <x:xf numFmtId="200" fontId="10" fillId="0" borderId="0" xfId="0" applyNumberFormat="1" applyFont="1" applyFill="1" applyBorder="1" applyAlignment="1">
      <x:alignment vertical="center" wrapText="0"/>
    </x:xf>
    <x:xf numFmtId="0" fontId="7" fillId="0" borderId="4" xfId="0" applyNumberFormat="1" applyFont="1" applyFill="1" applyBorder="1" applyAlignment="1">
      <x:alignment vertical="center" wrapText="0"/>
    </x:xf>
    <x:xf numFmtId="205" fontId="7" fillId="0" borderId="4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205" fontId="10" fillId="0" borderId="1" xfId="0" applyNumberFormat="1" applyFont="1" applyFill="1" applyBorder="1" applyAlignment="1">
      <x:alignment vertical="center" wrapText="0"/>
    </x:xf>
    <x:xf numFmtId="0" fontId="10" fillId="0" borderId="1" xfId="0" applyNumberFormat="1" applyFont="1" applyFill="1" applyBorder="1" applyAlignment="1">
      <x:alignment vertical="center" wrapText="0"/>
    </x:xf>
    <x:xf numFmtId="0" fontId="11" fillId="2" borderId="1" xfId="0" applyNumberFormat="1" applyFont="1" applyFill="1" applyBorder="1" applyAlignment="1">
      <x:alignment horizontal="left" vertical="center" wrapText="0"/>
    </x:xf>
    <x:xf numFmtId="200" fontId="10" fillId="0" borderId="1" xfId="0" applyNumberFormat="1" applyFont="1" applyFill="1" applyBorder="1" applyAlignment="1">
      <x:alignment vertical="center" wrapText="0"/>
    </x:xf>
    <x:xf numFmtId="0" fontId="7" fillId="0" borderId="5" xfId="0" applyNumberFormat="1" applyFont="1" applyFill="1" applyBorder="1" applyAlignment="1">
      <x:alignment vertical="center" wrapText="0"/>
    </x:xf>
    <x:xf numFmtId="205" fontId="7" fillId="0" borderId="5" xfId="0" applyNumberFormat="1" applyFont="1" applyFill="1" applyBorder="1" applyAlignment="1">
      <x:alignment vertical="center" wrapText="0"/>
    </x:xf>
    <x:xf numFmtId="202" fontId="7" fillId="0" borderId="4" xfId="0" applyNumberFormat="1" applyFont="1" applyFill="1" applyBorder="1" applyAlignment="1">
      <x:alignment vertical="center" wrapText="0"/>
    </x:xf>
    <x:xf numFmtId="0" fontId="7" fillId="0" borderId="0" xfId="0" applyNumberFormat="1" applyFont="1" applyFill="1" applyBorder="1" applyAlignment="1">
      <x:alignment vertical="center" wrapText="0"/>
    </x:xf>
    <x:xf numFmtId="205" fontId="7" fillId="0" borderId="0" xfId="0" applyNumberFormat="1" applyFont="1" applyFill="1" applyBorder="1" applyAlignment="1">
      <x:alignment vertical="center" wrapText="0"/>
    </x:xf>
    <x:xf numFmtId="202" fontId="7" fillId="0" borderId="5" xfId="0" applyNumberFormat="1" applyFont="1" applyFill="1" applyBorder="1" applyAlignment="1">
      <x:alignment vertical="center" wrapText="0"/>
    </x:xf>
    <x:xf numFmtId="0" fontId="7" fillId="0" borderId="1" xfId="0" applyNumberFormat="1" applyFont="1" applyFill="1" applyBorder="1" applyAlignment="1">
      <x:alignment vertical="center" wrapText="0"/>
    </x:xf>
    <x:xf numFmtId="205" fontId="7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8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205" fontId="1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0"/>
    </x:xf>
    <x:xf numFmtId="201" fontId="10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  <x:xf numFmtId="201" fontId="10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8b47276e24ecc" /><Relationship Type="http://schemas.openxmlformats.org/officeDocument/2006/relationships/theme" Target="/xl/theme/theme1.xml" Id="R5987c9ef244043e7" /><Relationship Type="http://schemas.openxmlformats.org/officeDocument/2006/relationships/sharedStrings" Target="/xl/sharedStrings.xml" Id="R9c5468fc46ec4136" /><Relationship Type="http://schemas.openxmlformats.org/officeDocument/2006/relationships/worksheet" Target="/xl/worksheets/sheet1.xml" Id="R136196c2ba3c49eb" /><Relationship Type="http://schemas.openxmlformats.org/officeDocument/2006/relationships/worksheet" Target="/xl/worksheets/sheet2.xml" Id="R312e489214d6406a" /><Relationship Type="http://schemas.openxmlformats.org/officeDocument/2006/relationships/worksheet" Target="/xl/worksheets/sheet3.xml" Id="R3aa0500f351c4406" /><Relationship Type="http://schemas.openxmlformats.org/officeDocument/2006/relationships/worksheet" Target="/xl/worksheets/sheet4.xml" Id="R4bd9b275780c4a6c" /><Relationship Type="http://schemas.openxmlformats.org/officeDocument/2006/relationships/worksheet" Target="/xl/worksheets/sheet5.xml" Id="Rd21fd77f05df4516" /><Relationship Type="http://schemas.openxmlformats.org/officeDocument/2006/relationships/worksheet" Target="/xl/worksheets/sheet6.xml" Id="Ra5fb665059394697" /><Relationship Type="http://schemas.openxmlformats.org/officeDocument/2006/relationships/worksheet" Target="/xl/worksheets/sheet7.xml" Id="Rc41c1dea661e4b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f5385293c4cfc" /><Relationship Type="http://schemas.openxmlformats.org/officeDocument/2006/relationships/chart" Target="/xl/drawings/charts/chart2.xml" Id="R54fce750996f4c0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='Summary'!$W$4:$W$23</c:f>
              <c:strCache>
                <c:ptCount val="0"/>
              </c:strCache>
            </c:strRef>
          </c:cat>
          <c:val>
            <c:numRef>
              <c:f>='Summary'!$X$4:$X$23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='Summary'!$W$4:$W$23</c:f>
              <c:strCache>
                <c:ptCount val="0"/>
              </c:strCache>
            </c:strRef>
          </c:cat>
          <c:val>
            <c:numRef>
              <c:f>='Summary'!$Y$4:$Y$23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Members (mm)</c:v>
          </c:tx>
          <c:marker>
            <c:symbol val="none"/>
          </c:marker>
          <c:cat>
            <c:strRef>
              <c:f>='Summary'!$W$4:$W$23</c:f>
              <c:strCache>
                <c:ptCount val="0"/>
              </c:strCache>
            </c:strRef>
          </c:cat>
          <c:val>
            <c:numRef>
              <c:f>='Summary'!$Z$4:$Z$23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Partner bathrooms (000s)</c:v>
          </c:tx>
          <c:marker>
            <c:symbol val="none"/>
          </c:marker>
          <c:cat>
            <c:strRef>
              <c:f>='Summary'!$W$4:$W$23</c:f>
              <c:strCache>
                <c:ptCount val="0"/>
              </c:strCache>
            </c:strRef>
          </c:cat>
          <c:val>
            <c:numRef>
              <c:f>='Summary'!$AA$4:$AA$23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f5385293c4cfc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21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fce750996f4c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50bb638b1d4c7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6" customHeight="1">
      <x:c r="A1" s="5" t="str">
        <x:v>LIBERTYPASS | 20-Year Financial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2" t="str">
        <x:v>Freedom to go. $1 annual membership creates the consumer / consent layer; economic value is generated primarily through aggregated data licensing, public-health products, and toilet-paper advertising.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M3" s="46"/>
      <x:c r="N3" s="46"/>
      <x:c r="O3" s="46"/>
      <x:c r="P3" s="46"/>
      <x:c r="Q3" s="46"/>
      <x:c r="W3" t="str">
        <x:v>Year</x:v>
      </x:c>
      <x:c r="X3" t="str">
        <x:v>Revenue</x:v>
      </x:c>
      <x:c r="Y3" t="str">
        <x:v>EBITDA</x:v>
      </x:c>
      <x:c r="Z3" t="str">
        <x:v>Members</x:v>
      </x:c>
      <x:c r="AA3" t="str">
        <x:v>Partner Bathrooms</x:v>
      </x:c>
    </x:row>
    <x:row r="4" ht="20" customHeight="1">
      <x:c r="A4" s="18" t="str">
        <x:v>2046E Base-Case KPIs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M4"/>
      <x:c r="N4" s="76"/>
      <x:c r="O4" s="76"/>
      <x:c r="P4" s="66"/>
      <x:c r="Q4" s="66"/>
      <x:c r="W4" t="n">
        <x:v>2027</x:v>
      </x:c>
      <x:c r="X4" s="76" t="n">
        <x:f>'Financials'!B5</x:f>
        <x:v>3.1222499999999997</x:v>
      </x:c>
      <x:c r="Y4" s="76" t="n">
        <x:f>'Financials'!B10</x:f>
        <x:v>-13.402107500000005</x:v>
      </x:c>
      <x:c r="Z4" s="66" t="n">
        <x:f>'Operating Build'!B4</x:f>
        <x:v>0.2</x:v>
      </x:c>
      <x:c r="AA4" s="66" t="n">
        <x:f>'Operating Build'!B6</x:f>
        <x:v>1.5</x:v>
      </x:c>
    </x:row>
    <x:row r="5">
      <x:c r="A5" s="96" t="str">
        <x:v>Members</x:v>
      </x:c>
      <x:c r="B5" s="102" t="n">
        <x:f>'Operating Build'!U4</x:f>
        <x:v>411.6936295348281</x:v>
      </x:c>
      <x:c r="D5" s="96" t="str">
        <x:v>Partner bathrooms</x:v>
      </x:c>
      <x:c r="E5" s="102" t="n">
        <x:f>'Operating Build'!U6</x:f>
        <x:v>938.5606524097258</x:v>
      </x:c>
      <x:c r="G5" s="96" t="str">
        <x:v>Revenue</x:v>
      </x:c>
      <x:c r="H5" s="104" t="n">
        <x:f>'Financials'!U5</x:f>
        <x:v>3548.3893940603243</x:v>
      </x:c>
      <x:c r="M5"/>
      <x:c r="N5" s="76"/>
      <x:c r="O5" s="76"/>
      <x:c r="P5" s="66"/>
      <x:c r="Q5" s="66"/>
      <x:c r="W5" t="n">
        <x:v>2028</x:v>
      </x:c>
      <x:c r="X5" s="76" t="n">
        <x:f>'Financials'!C5</x:f>
        <x:v>8.26653125</x:v>
      </x:c>
      <x:c r="Y5" s="76" t="n">
        <x:f>'Financials'!C10</x:f>
        <x:v>-13.800041125000007</x:v>
      </x:c>
      <x:c r="Z5" s="66" t="n">
        <x:f>'Operating Build'!C4</x:f>
        <x:v>0.7000000000000001</x:v>
      </x:c>
      <x:c r="AA5" s="66" t="n">
        <x:f>'Operating Build'!C6</x:f>
        <x:v>4.5</x:v>
      </x:c>
    </x:row>
    <x:row r="6">
      <x:c r="M6"/>
      <x:c r="N6" s="76"/>
      <x:c r="O6" s="76"/>
      <x:c r="P6" s="66"/>
      <x:c r="Q6" s="66"/>
      <x:c r="W6" t="n">
        <x:v>2029</x:v>
      </x:c>
      <x:c r="X6" s="76" t="n">
        <x:f>'Financials'!D5</x:f>
        <x:v>19.38324375</x:v>
      </x:c>
      <x:c r="Y6" s="76" t="n">
        <x:f>'Financials'!D10</x:f>
        <x:v>-14.502969398750004</x:v>
      </x:c>
      <x:c r="Z6" s="66" t="n">
        <x:f>'Operating Build'!D4</x:f>
        <x:v>2.1</x:v>
      </x:c>
      <x:c r="AA6" s="66" t="n">
        <x:f>'Operating Build'!D6</x:f>
        <x:v>11.25</x:v>
      </x:c>
    </x:row>
    <x:row r="7">
      <x:c r="M7"/>
      <x:c r="N7" s="76"/>
      <x:c r="O7" s="76"/>
      <x:c r="P7" s="66"/>
      <x:c r="Q7" s="66"/>
      <x:c r="W7" t="n">
        <x:v>2030</x:v>
      </x:c>
      <x:c r="X7" s="76" t="n">
        <x:f>'Financials'!E5</x:f>
        <x:v>41.59814499999999</x:v>
      </x:c>
      <x:c r="Y7" s="76" t="n">
        <x:f>'Financials'!E10</x:f>
        <x:v>-13.63753442422501</x:v>
      </x:c>
      <x:c r="Z7" s="66" t="n">
        <x:f>'Operating Build'!E4</x:f>
        <x:v>5.25</x:v>
      </x:c>
      <x:c r="AA7" s="66" t="n">
        <x:f>'Operating Build'!E6</x:f>
        <x:v>22.5</x:v>
      </x:c>
    </x:row>
    <x:row r="8">
      <x:c r="A8" s="96" t="str">
        <x:v>EBITDA</x:v>
      </x:c>
      <x:c r="B8" s="104" t="n">
        <x:f>'Financials'!U10</x:f>
        <x:v>1282.4943364669493</x:v>
      </x:c>
      <x:c r="D8" s="96" t="str">
        <x:v>EBITDA margin</x:v>
      </x:c>
      <x:c r="E8" s="106" t="n">
        <x:f>'Financials'!U11</x:f>
        <x:v>0.36142998809931237</x:v>
      </x:c>
      <x:c r="G8" s="96" t="str">
        <x:v>Cumulative external financing</x:v>
      </x:c>
      <x:c r="H8" s="104" t="n">
        <x:f>'Financials'!U28</x:f>
        <x:v>81.96886175958325</x:v>
      </x:c>
      <x:c r="M8"/>
      <x:c r="N8" s="76"/>
      <x:c r="O8" s="76"/>
      <x:c r="P8" s="66"/>
      <x:c r="Q8" s="66"/>
      <x:c r="W8" t="n">
        <x:v>2031</x:v>
      </x:c>
      <x:c r="X8" s="76" t="n">
        <x:f>'Financials'!F5</x:f>
        <x:v>78.9605642</x:v>
      </x:c>
      <x:c r="Y8" s="76" t="n">
        <x:f>'Financials'!F10</x:f>
        <x:v>-7.333884691863986</x:v>
      </x:c>
      <x:c r="Z8" s="66" t="n">
        <x:f>'Operating Build'!F4</x:f>
        <x:v>10.5</x:v>
      </x:c>
      <x:c r="AA8" s="66" t="n">
        <x:f>'Operating Build'!F6</x:f>
        <x:v>40.5</x:v>
      </x:c>
    </x:row>
    <x:row r="9">
      <x:c r="M9"/>
      <x:c r="N9" s="76"/>
      <x:c r="O9" s="76"/>
      <x:c r="P9" s="66"/>
      <x:c r="Q9" s="66"/>
      <x:c r="W9" t="n">
        <x:v>2032</x:v>
      </x:c>
      <x:c r="X9" s="76" t="n">
        <x:f>'Financials'!G5</x:f>
        <x:v>139.0929278445</x:v>
      </x:c>
      <x:c r="Y9" s="76" t="n">
        <x:f>'Financials'!G10</x:f>
        <x:v>7.0257361437543295</x:v>
      </x:c>
      <x:c r="Z9" s="66" t="n">
        <x:f>'Operating Build'!G4</x:f>
        <x:v>18.375</x:v>
      </x:c>
      <x:c r="AA9" s="66" t="n">
        <x:f>'Operating Build'!G6</x:f>
        <x:v>64.8</x:v>
      </x:c>
    </x:row>
    <x:row r="10">
      <x:c r="M10"/>
      <x:c r="N10" s="76"/>
      <x:c r="O10" s="76"/>
      <x:c r="P10" s="66"/>
      <x:c r="Q10" s="66"/>
      <x:c r="W10" t="n">
        <x:v>2033</x:v>
      </x:c>
      <x:c r="X10" s="76" t="n">
        <x:f>'Financials'!H5</x:f>
        <x:v>227.1160490312</x:v>
      </x:c>
      <x:c r="Y10" s="76" t="n">
        <x:f>'Financials'!H10</x:f>
        <x:v>33.62901286923204</x:v>
      </x:c>
      <x:c r="Z10" s="66" t="n">
        <x:f>'Operating Build'!H4</x:f>
        <x:v>29.400000000000002</x:v>
      </x:c>
      <x:c r="AA10" s="66" t="n">
        <x:f>'Operating Build'!H6</x:f>
        <x:v>93.96</x:v>
      </x:c>
    </x:row>
    <x:row r="11" ht="20" customHeight="1">
      <x:c r="A11" s="18" t="str">
        <x:v>Key Milestones</x:v>
      </x:c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M11"/>
      <x:c r="N11" s="76"/>
      <x:c r="O11" s="76"/>
      <x:c r="P11" s="66"/>
      <x:c r="Q11" s="66"/>
      <x:c r="W11" t="n">
        <x:v>2034</x:v>
      </x:c>
      <x:c r="X11" s="76" t="n">
        <x:f>'Financials'!I5</x:f>
        <x:v>356.73776923456</x:v>
      </x:c>
      <x:c r="Y11" s="76" t="n">
        <x:f>'Financials'!I10</x:f>
        <x:v>79.13973134651968</x:v>
      </x:c>
      <x:c r="Z11" s="66" t="n">
        <x:f>'Operating Build'!I4</x:f>
        <x:v>44.1</x:v>
      </x:c>
      <x:c r="AA11" s="66" t="n">
        <x:f>'Operating Build'!I6</x:f>
        <x:v>131.54399999999998</x:v>
      </x:c>
    </x:row>
    <x:row r="12">
      <x:c r="A12" s="46" t="str">
        <x:v>Milestone</x:v>
      </x:c>
      <x:c r="B12" s="46" t="str">
        <x:v>Year</x:v>
      </x:c>
      <x:c r="C12" s="46" t="str">
        <x:v>Comment</x:v>
      </x:c>
      <x:c r="M12"/>
      <x:c r="N12" s="76"/>
      <x:c r="O12" s="76"/>
      <x:c r="P12" s="66"/>
      <x:c r="Q12" s="66"/>
      <x:c r="W12" t="n">
        <x:v>2035</x:v>
      </x:c>
      <x:c r="X12" s="76" t="n">
        <x:f>'Financials'!J5</x:f>
        <x:v>539.3205643084561</x:v>
      </x:c>
      <x:c r="Y12" s="76" t="n">
        <x:f>'Financials'!J10</x:f>
        <x:v>153.50773169753558</x:v>
      </x:c>
      <x:c r="Z12" s="66" t="n">
        <x:f>'Operating Build'!J4</x:f>
        <x:v>61.739999999999995</x:v>
      </x:c>
      <x:c r="AA12" s="66" t="n">
        <x:f>'Operating Build'!J6</x:f>
        <x:v>177.5844</x:v>
      </x:c>
    </x:row>
    <x:row r="13">
      <x:c r="A13" s="108" t="str">
        <x:v>10mm members</x:v>
      </x:c>
      <x:c r="B13" t="str">
        <x:v>2031E</x:v>
      </x:c>
      <x:c r="C13" s="110" t="str">
        <x:v>Scale begins to support materially richer alternative-data products</x:v>
      </x:c>
      <x:c r="M13"/>
      <x:c r="N13" s="76"/>
      <x:c r="O13" s="76"/>
      <x:c r="P13" s="66"/>
      <x:c r="Q13" s="66"/>
      <x:c r="W13" t="n">
        <x:v>2036</x:v>
      </x:c>
      <x:c r="X13" s="76" t="n">
        <x:f>'Financials'!K5</x:f>
        <x:v>773.9077392993041</x:v>
      </x:c>
      <x:c r="Y13" s="76" t="n">
        <x:f>'Financials'!K10</x:f>
        <x:v>251.30770723465582</x:v>
      </x:c>
      <x:c r="Z13" s="66" t="n">
        <x:f>'Operating Build'!K4</x:f>
        <x:v>83.349</x:v>
      </x:c>
      <x:c r="AA13" s="66" t="n">
        <x:f>'Operating Build'!K6</x:f>
        <x:v>230.85971999999998</x:v>
      </x:c>
    </x:row>
    <x:row r="14">
      <x:c r="A14" s="108" t="str">
        <x:v>EBITDA positive</x:v>
      </x:c>
      <x:c r="B14" t="str">
        <x:v>2032E</x:v>
      </x:c>
      <x:c r="C14" s="110" t="str">
        <x:v>Base case reaches operating profitability</x:v>
      </x:c>
      <x:c r="M14"/>
      <x:c r="N14" s="76"/>
      <x:c r="O14" s="76"/>
      <x:c r="P14" s="66"/>
      <x:c r="Q14" s="66"/>
      <x:c r="W14" t="n">
        <x:v>2037</x:v>
      </x:c>
      <x:c r="X14" s="76" t="n">
        <x:f>'Financials'!L5</x:f>
        <x:v>1070.4845441979487</x:v>
      </x:c>
      <x:c r="Y14" s="76" t="n">
        <x:f>'Financials'!L10</x:f>
        <x:v>386.0579823806436</x:v>
      </x:c>
      <x:c r="Z14" s="66" t="n">
        <x:f>'Operating Build'!L4</x:f>
        <x:v>108.3537</x:v>
      </x:c>
      <x:c r="AA14" s="66" t="n">
        <x:f>'Operating Build'!L6</x:f>
        <x:v>288.57464999999996</x:v>
      </x:c>
    </x:row>
    <x:row r="15">
      <x:c r="A15" s="108" t="str">
        <x:v>Free-cash-flow positive</x:v>
      </x:c>
      <x:c r="B15" t="str">
        <x:v>2033E</x:v>
      </x:c>
      <x:c r="C15" s="110" t="str">
        <x:v>No incremental external financing required thereafter in base case</x:v>
      </x:c>
      <x:c r="M15"/>
      <x:c r="N15" s="76"/>
      <x:c r="O15" s="76"/>
      <x:c r="P15" s="66"/>
      <x:c r="Q15" s="66"/>
      <x:c r="W15" t="n">
        <x:v>2038</x:v>
      </x:c>
      <x:c r="X15" s="76" t="n">
        <x:f>'Financials'!M5</x:f>
        <x:v>1437.9631665167688</x:v>
      </x:c>
      <x:c r="Y15" s="76" t="n">
        <x:f>'Financials'!M10</x:f>
        <x:v>564.9944532537843</x:v>
      </x:c>
      <x:c r="Z15" s="66" t="n">
        <x:f>'Operating Build'!M4</x:f>
        <x:v>135.442125</x:v>
      </x:c>
      <x:c r="AA15" s="66" t="n">
        <x:f>'Operating Build'!M6</x:f>
        <x:v>352.06107299999996</x:v>
      </x:c>
    </x:row>
    <x:row r="16">
      <x:c r="A16" s="108" t="str">
        <x:v>100mm members</x:v>
      </x:c>
      <x:c r="B16" t="str">
        <x:v>2037E</x:v>
      </x:c>
      <x:c r="C16" s="110" t="str">
        <x:v>Global-scale data network</x:v>
      </x:c>
      <x:c r="M16"/>
      <x:c r="N16" s="76"/>
      <x:c r="O16" s="76"/>
      <x:c r="P16" s="66"/>
      <x:c r="Q16" s="66"/>
      <x:c r="W16" t="n">
        <x:v>2039</x:v>
      </x:c>
      <x:c r="X16" s="76" t="n">
        <x:f>'Financials'!N5</x:f>
        <x:v>1749.2912112920758</x:v>
      </x:c>
      <x:c r="Y16" s="76" t="n">
        <x:f>'Financials'!N10</x:f>
        <x:v>695.0303118593907</x:v>
      </x:c>
      <x:c r="Z16" s="66" t="n">
        <x:f>'Operating Build'!N4</x:f>
        <x:v>165.2393925</x:v>
      </x:c>
      <x:c r="AA16" s="66" t="n">
        <x:f>'Operating Build'!N6</x:f>
        <x:v>422.47328759999994</x:v>
      </x:c>
    </x:row>
    <x:row r="17">
      <x:c r="A17" s="108" t="str">
        <x:v>$1bn+ revenue</x:v>
      </x:c>
      <x:c r="B17" t="str">
        <x:v>2037E</x:v>
      </x:c>
      <x:c r="C17" s="110" t="str">
        <x:v>Revenue primarily driven by data products, not membership fees</x:v>
      </x:c>
      <x:c r="M17"/>
      <x:c r="N17" s="76"/>
      <x:c r="O17" s="76"/>
      <x:c r="P17" s="66"/>
      <x:c r="Q17" s="66"/>
      <x:c r="W17" t="n">
        <x:v>2040</x:v>
      </x:c>
      <x:c r="X17" s="76" t="n">
        <x:f>'Financials'!O5</x:f>
        <x:v>2077.446655366657</x:v>
      </x:c>
      <x:c r="Y17" s="76" t="n">
        <x:f>'Financials'!O10</x:f>
        <x:v>827.9059843173208</x:v>
      </x:c>
      <x:c r="Z17" s="66" t="n">
        <x:f>'Operating Build'!O4</x:f>
        <x:v>198.287271</x:v>
      </x:c>
      <x:c r="AA17" s="66" t="n">
        <x:f>'Operating Build'!O6</x:f>
        <x:v>498.5184793679999</x:v>
      </x:c>
    </x:row>
    <x:row r="18">
      <x:c r="M18"/>
      <x:c r="N18" s="76"/>
      <x:c r="O18" s="76"/>
      <x:c r="P18" s="66"/>
      <x:c r="Q18" s="66"/>
      <x:c r="W18" t="n">
        <x:v>2041</x:v>
      </x:c>
      <x:c r="X18" s="76" t="n">
        <x:f>'Financials'!P5</x:f>
        <x:v>2451.5066433614297</x:v>
      </x:c>
      <x:c r="Y18" s="76" t="n">
        <x:f>'Financials'!P10</x:f>
        <x:v>984.4361146939182</x:v>
      </x:c>
      <x:c r="Z18" s="66" t="n">
        <x:f>'Operating Build'!P4</x:f>
        <x:v>233.97897978</x:v>
      </x:c>
      <x:c r="AA18" s="66" t="n">
        <x:f>'Operating Build'!P6</x:f>
        <x:v>578.2814360668798</x:v>
      </x:c>
    </x:row>
    <x:row r="19" ht="20" customHeight="1">
      <x:c r="A19" s="18" t="str">
        <x:v>Revenue Mix ($mm)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M19"/>
      <x:c r="N19" s="76"/>
      <x:c r="O19" s="76"/>
      <x:c r="P19" s="66"/>
      <x:c r="Q19" s="66"/>
      <x:c r="W19" t="n">
        <x:v>2042</x:v>
      </x:c>
      <x:c r="X19" s="76" t="n">
        <x:f>'Financials'!Q5</x:f>
        <x:v>2767.3004492179193</x:v>
      </x:c>
      <x:c r="Y19" s="76" t="n">
        <x:f>'Financials'!Q10</x:f>
        <x:v>1098.8179870846798</x:v>
      </x:c>
      <x:c r="Z19" s="66" t="n">
        <x:f>'Operating Build'!Q4</x:f>
        <x:v>271.4156165448</x:v>
      </x:c>
      <x:c r="AA19" s="66" t="n">
        <x:f>'Operating Build'!Q6</x:f>
        <x:v>659.240837116243</x:v>
      </x:c>
    </x:row>
    <x:row r="20">
      <x:c r="A20" s="46" t="str">
        <x:v>Revenue stream</x:v>
      </x:c>
      <x:c r="B20" s="46" t="str">
        <x:v>2030E</x:v>
      </x:c>
      <x:c r="C20" s="46" t="str">
        <x:v>2035E</x:v>
      </x:c>
      <x:c r="D20" s="46" t="str">
        <x:v>2040E</x:v>
      </x:c>
      <x:c r="E20" s="46" t="str">
        <x:v>2046E</x:v>
      </x:c>
      <x:c r="F20" s="46" t="str">
        <x:v>2046 mix</x:v>
      </x:c>
      <x:c r="M20"/>
      <x:c r="N20" s="76"/>
      <x:c r="O20" s="76"/>
      <x:c r="P20" s="66"/>
      <x:c r="Q20" s="66"/>
      <x:c r="W20" t="n">
        <x:v>2043</x:v>
      </x:c>
      <x:c r="X20" s="76" t="n">
        <x:f>'Financials'!R5</x:f>
        <x:v>2999.074134385638</x:v>
      </x:c>
      <x:c r="Y20" s="76" t="n">
        <x:f>'Financials'!R10</x:f>
        <x:v>1166.5630577457719</x:v>
      </x:c>
      <x:c r="Z20" s="66" t="n">
        <x:f>'Operating Build'!R4</x:f>
        <x:v>309.41380286107204</x:v>
      </x:c>
      <x:c r="AA20" s="66" t="n">
        <x:f>'Operating Build'!R6</x:f>
        <x:v>738.3497375701922</x:v>
      </x:c>
    </x:row>
    <x:row r="21">
      <x:c r="A21" t="str">
        <x:v>$1 membership</x:v>
      </x:c>
      <x:c r="B21" s="76" t="n">
        <x:f>'Revenue Build'!E6</x:f>
        <x:v>5.25</x:v>
      </x:c>
      <x:c r="C21" s="76" t="n">
        <x:f>'Revenue Build'!J6</x:f>
        <x:v>61.739999999999995</x:v>
      </x:c>
      <x:c r="D21" s="76" t="n">
        <x:f>'Revenue Build'!O6</x:f>
        <x:v>198.287271</x:v>
      </x:c>
      <x:c r="E21" s="76" t="n">
        <x:f>'Revenue Build'!U6</x:f>
        <x:v>411.6936295348281</x:v>
      </x:c>
      <x:c r="F21" s="67" t="n">
        <x:f>E21/E26</x:f>
        <x:v>0.11602267502658112</x:v>
      </x:c>
      <x:c r="M21"/>
      <x:c r="N21" s="76"/>
      <x:c r="O21" s="76"/>
      <x:c r="P21" s="66"/>
      <x:c r="Q21" s="66"/>
      <x:c r="W21" t="n">
        <x:v>2044</x:v>
      </x:c>
      <x:c r="X21" s="76" t="n">
        <x:f>'Financials'!S5</x:f>
        <x:v>3180.189678725566</x:v>
      </x:c>
      <x:c r="Y21" s="76" t="n">
        <x:f>'Financials'!S10</x:f>
        <x:v>1199.172433944465</x:v>
      </x:c>
      <x:c r="Z21" s="66" t="n">
        <x:f>'Operating Build'!S4</x:f>
        <x:v>346.54345920440073</x:v>
      </x:c>
      <x:c r="AA21" s="66" t="n">
        <x:f>'Operating Build'!S6</x:f>
        <x:v>812.1847113272115</x:v>
      </x:c>
    </x:row>
    <x:row r="22">
      <x:c r="A22" t="str">
        <x:v>Financial / alt-data</x:v>
      </x:c>
      <x:c r="B22" s="76" t="n">
        <x:f>'Revenue Build'!E11</x:f>
        <x:v>11.786781249999997</x:v>
      </x:c>
      <x:c r="C22" s="76" t="n">
        <x:f>'Revenue Build'!J11</x:f>
        <x:v>131.40684128880002</x:v>
      </x:c>
      <x:c r="D22" s="76" t="n">
        <x:f>'Revenue Build'!O11</x:f>
        <x:v>531.9399213867733</x:v>
      </x:c>
      <x:c r="E22" s="76" t="n">
        <x:f>'Revenue Build'!U11</x:f>
        <x:v>1019.3887697200745</x:v>
      </x:c>
      <x:c r="F22" s="67" t="n">
        <x:f>E22/E26</x:f>
        <x:v>0.2872821036570668</x:v>
      </x:c>
      <x:c r="M22"/>
      <x:c r="N22" s="76"/>
      <x:c r="O22" s="76"/>
      <x:c r="P22" s="66"/>
      <x:c r="Q22" s="66"/>
      <x:c r="W22" t="n">
        <x:v>2045</x:v>
      </x:c>
      <x:c r="X22" s="76" t="n">
        <x:f>'Financials'!T5</x:f>
        <x:v>3365.6068572015297</x:v>
      </x:c>
      <x:c r="Y22" s="76" t="n">
        <x:f>'Financials'!T10</x:f>
        <x:v>1239.6474143535106</x:v>
      </x:c>
      <x:c r="Z22" s="66" t="n">
        <x:f>'Operating Build'!T4</x:f>
        <x:v>381.19780512484084</x:v>
      </x:c>
      <x:c r="AA22" s="66" t="n">
        <x:f>'Operating Build'!T6</x:f>
        <x:v>877.1594882333885</x:v>
      </x:c>
    </x:row>
    <x:row r="23">
      <x:c r="A23" t="str">
        <x:v>Biotech / research</x:v>
      </x:c>
      <x:c r="B23" s="76" t="n">
        <x:f>'Revenue Build'!E16</x:f>
        <x:v>13.307656249999997</x:v>
      </x:c>
      <x:c r="C23" s="76" t="n">
        <x:f>'Revenue Build'!J16</x:f>
        <x:v>156.41857822976002</x:v>
      </x:c>
      <x:c r="D23" s="76" t="n">
        <x:f>'Revenue Build'!O16</x:f>
        <x:v>633.2007738917254</x:v>
      </x:c>
      <x:c r="E23" s="76" t="n">
        <x:f>'Revenue Build'!U16</x:f>
        <x:v>1070.358208206078</x:v>
      </x:c>
      <x:c r="F23" s="67" t="n">
        <x:f>E23/E26</x:f>
        <x:v>0.30164620883992005</x:v>
      </x:c>
      <x:c r="M23"/>
      <x:c r="N23" s="76"/>
      <x:c r="O23" s="76"/>
      <x:c r="P23" s="66"/>
      <x:c r="Q23" s="66"/>
      <x:c r="W23" t="n">
        <x:v>2046</x:v>
      </x:c>
      <x:c r="X23" s="76" t="n">
        <x:f>'Financials'!U5</x:f>
        <x:v>3548.3893940603243</x:v>
      </x:c>
      <x:c r="Y23" s="76" t="n">
        <x:f>'Financials'!U10</x:f>
        <x:v>1282.4943364669493</x:v>
      </x:c>
      <x:c r="Z23" s="66" t="n">
        <x:f>'Operating Build'!U4</x:f>
        <x:v>411.6936295348281</x:v>
      </x:c>
      <x:c r="AA23" s="66" t="n">
        <x:f>'Operating Build'!U6</x:f>
        <x:v>938.5606524097258</x:v>
      </x:c>
    </x:row>
    <x:row r="24">
      <x:c r="A24" t="str">
        <x:v>Government / public health</x:v>
      </x:c>
      <x:c r="B24" s="76" t="n">
        <x:f>'Revenue Build'!E22</x:f>
        <x:v>10.805816874999996</x:v>
      </x:c>
      <x:c r="C24" s="76" t="n">
        <x:f>'Revenue Build'!J22</x:f>
        <x:v>180.72566978989602</x:v>
      </x:c>
      <x:c r="D24" s="76" t="n">
        <x:f>'Revenue Build'!O22</x:f>
        <x:v>672.9360451278458</x:v>
      </x:c>
      <x:c r="E24" s="76" t="n">
        <x:f>'Revenue Build'!U22</x:f>
        <x:v>936.5634321803183</x:v>
      </x:c>
      <x:c r="F24" s="67" t="n">
        <x:f>E24/E26</x:f>
        <x:v>0.26394043273493006</x:v>
      </x:c>
    </x:row>
    <x:row r="25">
      <x:c r="A25" t="str">
        <x:v>Toilet-paper advertising</x:v>
      </x:c>
      <x:c r="B25" s="76" t="n">
        <x:f>'Revenue Build'!E27</x:f>
        <x:v>0.44789062499999993</x:v>
      </x:c>
      <x:c r="C25" s="76" t="n">
        <x:f>'Revenue Build'!J27</x:f>
        <x:v>9.029474999999998</x:v>
      </x:c>
      <x:c r="D25" s="76" t="n">
        <x:f>'Revenue Build'!O27</x:f>
        <x:v>41.0826439603125</x:v>
      </x:c>
      <x:c r="E25" s="76" t="n">
        <x:f>'Revenue Build'!U27</x:f>
        <x:v>110.3853544190258</x:v>
      </x:c>
      <x:c r="F25" s="67" t="n">
        <x:f>E25/E26</x:f>
        <x:v>0.03110857974150207</x:v>
      </x:c>
    </x:row>
    <x:row r="26">
      <x:c r="A26" s="88" t="str">
        <x:v>Total revenue</x:v>
      </x:c>
      <x:c r="B26" s="89" t="n">
        <x:f>'Revenue Build'!E30</x:f>
        <x:v>41.59814499999999</x:v>
      </x:c>
      <x:c r="C26" s="89" t="n">
        <x:f>'Revenue Build'!J30</x:f>
        <x:v>539.3205643084561</x:v>
      </x:c>
      <x:c r="D26" s="89" t="n">
        <x:f>'Revenue Build'!O30</x:f>
        <x:v>2077.446655366657</x:v>
      </x:c>
      <x:c r="E26" s="89" t="n">
        <x:f>'Revenue Build'!U30</x:f>
        <x:v>3548.3893940603243</x:v>
      </x:c>
      <x:c r="F26" s="114" t="n">
        <x:f>100%</x:f>
        <x:v>1</x:v>
      </x:c>
    </x:row>
    <x:row r="29">
      <x:c r="A29" s="54" t="str">
        <x:v>Model interpretation: the $1 subscription is deliberately not the profit engine. It acts as a low-friction membership / identity / consent layer. By 2046E, the base case assumes ~88% of revenue comes from non-subscription sources. This is a deliberately ambitious competition-case forecast, not an investment recommendation.</x:v>
      </x:c>
      <x:c r="B29" s="54"/>
      <x:c r="C29" s="54"/>
      <x:c r="D29" s="54"/>
      <x:c r="E29" s="54"/>
      <x:c r="F29" s="54"/>
      <x:c r="G29" s="54"/>
      <x:c r="H29" s="54"/>
      <x:c r="I29" s="54"/>
      <x:c r="J29" s="54"/>
      <x:c r="K29" s="54"/>
    </x:row>
    <x:row r="30">
      <x:c r="A30" s="54"/>
      <x:c r="B30" s="54"/>
      <x:c r="C30" s="54"/>
      <x:c r="D30" s="54"/>
      <x:c r="E30" s="54"/>
      <x:c r="F30" s="54"/>
      <x:c r="G30" s="54"/>
      <x:c r="H30" s="54"/>
      <x:c r="I30" s="54"/>
      <x:c r="J30" s="54"/>
      <x:c r="K30" s="54"/>
    </x:row>
    <x:row r="3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  <x:c r="K31" s="54"/>
    </x:row>
  </x:sheetData>
  <x:mergeCells>
    <x:mergeCell ref="A1:U1"/>
    <x:mergeCell ref="A2:K2"/>
    <x:mergeCell ref="A4:K4"/>
    <x:mergeCell ref="A11:K11"/>
    <x:mergeCell ref="A19:K19"/>
    <x:mergeCell ref="A29:K31"/>
  </x:mergeCells>
  <x:pageMargins left="0.7" right="0.7" top="0.75" bottom="0.75" header="0.3" footer="0.3"/>
  <x:drawing xmlns:r="http://schemas.openxmlformats.org/officeDocument/2006/relationships" r:id="Rd450bb638b1d4c77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44" hidden="0" customWidth="1"/>
    <x:col min="4" max="4" width="12" hidden="0" customWidth="1"/>
    <x:col min="5" max="5" width="12" hidden="0" customWidth="1"/>
    <x:col min="6" max="6" width="4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6" customHeight="1">
      <x:c r="A1" s="5" t="str">
        <x:v>LibertyPass — 20-Year Financial Plan | Assumptions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16" t="str">
        <x:v>Illustrative competition model. All operating assumptions are editable. Health-related data monetization assumes explicit opt-in consent and aggregated/de-identified outputs only.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6"/>
      <x:c r="N2" s="116"/>
      <x:c r="O2" s="116"/>
      <x:c r="P2" s="116"/>
      <x:c r="Q2" s="116"/>
      <x:c r="R2" s="116"/>
      <x:c r="S2" s="116"/>
      <x:c r="T2" s="116"/>
      <x:c r="U2" s="116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  <x:c r="M3" s="117"/>
      <x:c r="N3" s="117"/>
      <x:c r="O3" s="117"/>
      <x:c r="P3" s="117"/>
      <x:c r="Q3" s="117"/>
      <x:c r="R3" s="117"/>
      <x:c r="S3" s="117"/>
      <x:c r="T3" s="117"/>
      <x:c r="U3" s="117"/>
    </x:row>
    <x:row r="4" ht="20" customHeight="1">
      <x:c r="A4" s="18" t="str">
        <x:v>Core Commercial &amp; Data Governance Assumptions</x:v>
      </x:c>
      <x:c r="B4" s="18"/>
      <x:c r="C4" s="18"/>
      <x:c r="D4" s="18"/>
      <x:c r="E4" s="117"/>
      <x:c r="F4" s="117"/>
      <x:c r="G4" s="117"/>
      <x:c r="H4" s="117"/>
      <x:c r="I4" s="117"/>
      <x:c r="J4" s="117"/>
      <x:c r="K4" s="117"/>
      <x:c r="L4" s="117"/>
      <x:c r="M4" s="117"/>
      <x:c r="N4" s="117"/>
      <x:c r="O4" s="117"/>
      <x:c r="P4" s="117"/>
      <x:c r="Q4" s="117"/>
      <x:c r="R4" s="117"/>
      <x:c r="S4" s="117"/>
      <x:c r="T4" s="117"/>
      <x:c r="U4" s="117"/>
    </x:row>
    <x:row r="5">
      <x:c r="A5" s="118" t="str">
        <x:v>Subscription price ($ / member / year)</x:v>
      </x:c>
      <x:c r="B5" s="119" t="n">
        <x:v>1</x:v>
      </x:c>
      <x:c r="C5" s="120" t="str">
        <x:v>User-provided assumption</x:v>
      </x:c>
      <x:c r="D5" s="117"/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  <x:c r="O5" s="117"/>
      <x:c r="P5" s="117"/>
      <x:c r="Q5" s="117"/>
      <x:c r="R5" s="117"/>
      <x:c r="S5" s="117"/>
      <x:c r="T5" s="117"/>
      <x:c r="U5" s="117"/>
    </x:row>
    <x:row r="6">
      <x:c r="A6" s="118" t="str">
        <x:v>Network partner revenue share (% of data + ad revenue)</x:v>
      </x:c>
      <x:c r="B6" s="121" t="n">
        <x:v>0.12</x:v>
      </x:c>
      <x:c r="C6" s="120" t="str">
        <x:v>Illustrative management assumption</x:v>
      </x:c>
      <x:c r="D6" s="117"/>
      <x:c r="E6" s="117"/>
      <x:c r="F6" s="117"/>
      <x:c r="G6" s="117"/>
      <x:c r="H6" s="117"/>
      <x:c r="I6" s="117"/>
      <x:c r="J6" s="117"/>
      <x:c r="K6" s="117"/>
      <x:c r="L6" s="117"/>
      <x:c r="M6" s="117"/>
      <x:c r="N6" s="117"/>
      <x:c r="O6" s="117"/>
      <x:c r="P6" s="117"/>
      <x:c r="Q6" s="117"/>
      <x:c r="R6" s="117"/>
      <x:c r="S6" s="117"/>
      <x:c r="T6" s="117"/>
      <x:c r="U6" s="117"/>
    </x:row>
    <x:row r="7">
      <x:c r="A7" s="118" t="str">
        <x:v>Subscription payment / collection cost (% of subscription revenue)</x:v>
      </x:c>
      <x:c r="B7" s="121" t="n">
        <x:v>0.32</x:v>
      </x:c>
      <x:c r="C7" s="120" t="str">
        <x:v>Illustrative assumption; $1 price point implies high payment friction</x:v>
      </x:c>
      <x:c r="D7" s="117"/>
      <x:c r="E7" s="117"/>
      <x:c r="F7" s="117"/>
      <x:c r="G7" s="117"/>
      <x:c r="H7" s="117"/>
      <x:c r="I7" s="117"/>
      <x:c r="J7" s="117"/>
      <x:c r="K7" s="117"/>
      <x:c r="L7" s="117"/>
      <x:c r="M7" s="117"/>
      <x:c r="N7" s="117"/>
      <x:c r="O7" s="117"/>
      <x:c r="P7" s="117"/>
      <x:c r="Q7" s="117"/>
      <x:c r="R7" s="117"/>
      <x:c r="S7" s="117"/>
      <x:c r="T7" s="117"/>
      <x:c r="U7" s="117"/>
    </x:row>
    <x:row r="8">
      <x:c r="A8" s="118" t="str">
        <x:v>Corporate tax rate</x:v>
      </x:c>
      <x:c r="B8" s="121" t="n">
        <x:v>0.25</x:v>
      </x:c>
      <x:c r="C8" s="120" t="str">
        <x:v>Illustrative normalized tax rate</x:v>
      </x:c>
      <x:c r="D8" s="117"/>
      <x:c r="E8" s="117"/>
      <x:c r="F8" s="117"/>
      <x:c r="G8" s="117"/>
      <x:c r="H8" s="117"/>
      <x:c r="I8" s="117"/>
      <x:c r="J8" s="117"/>
      <x:c r="K8" s="117"/>
      <x:c r="L8" s="117"/>
      <x:c r="M8" s="117"/>
      <x:c r="N8" s="117"/>
      <x:c r="O8" s="117"/>
      <x:c r="P8" s="117"/>
      <x:c r="Q8" s="117"/>
      <x:c r="R8" s="117"/>
      <x:c r="S8" s="117"/>
      <x:c r="T8" s="117"/>
      <x:c r="U8" s="117"/>
    </x:row>
    <x:row r="9">
      <x:c r="A9" s="118" t="str">
        <x:v>Net working capital (% of revenue)</x:v>
      </x:c>
      <x:c r="B9" s="121" t="n">
        <x:v>0.08</x:v>
      </x:c>
      <x:c r="C9" s="120" t="str">
        <x:v>Illustrative blended receivables / payables assumption</x:v>
      </x:c>
      <x:c r="D9" s="117"/>
      <x:c r="E9" s="117"/>
      <x:c r="F9" s="117"/>
      <x:c r="G9" s="117"/>
      <x:c r="H9" s="117"/>
      <x:c r="I9" s="117"/>
      <x:c r="J9" s="117"/>
      <x:c r="K9" s="117"/>
      <x:c r="L9" s="117"/>
      <x:c r="M9" s="117"/>
      <x:c r="N9" s="117"/>
      <x:c r="O9" s="117"/>
      <x:c r="P9" s="117"/>
      <x:c r="Q9" s="117"/>
      <x:c r="R9" s="117"/>
      <x:c r="S9" s="117"/>
      <x:c r="T9" s="117"/>
      <x:c r="U9" s="117"/>
    </x:row>
    <x:row r="10">
      <x:c r="A10" s="118" t="str">
        <x:v>Sensor installation capex ($ / enabled location)</x:v>
      </x:c>
      <x:c r="B10" s="119" t="n">
        <x:v>175</x:v>
      </x:c>
      <x:c r="C10" s="120" t="str">
        <x:v>Illustrative hardware + installation assumption</x:v>
      </x:c>
      <x:c r="D10" s="117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7"/>
      <x:c r="S10" s="117"/>
      <x:c r="T10" s="117"/>
      <x:c r="U10" s="117"/>
    </x:row>
    <x:row r="11">
      <x:c r="A11" s="118" t="str">
        <x:v>Sensor useful life (years)</x:v>
      </x:c>
      <x:c r="B11" s="122" t="n">
        <x:v>5</x:v>
      </x:c>
      <x:c r="C11" s="120" t="str">
        <x:v>Illustrative straight-line depreciation life</x:v>
      </x:c>
      <x:c r="D11" s="117"/>
      <x:c r="E11" s="117"/>
      <x:c r="F11" s="117"/>
      <x:c r="G11" s="117"/>
      <x:c r="H11" s="117"/>
      <x:c r="I11" s="117"/>
      <x:c r="J11" s="117"/>
      <x:c r="K11" s="117"/>
      <x:c r="L11" s="117"/>
      <x:c r="M11" s="117"/>
      <x:c r="N11" s="117"/>
      <x:c r="O11" s="117"/>
      <x:c r="P11" s="117"/>
      <x:c r="Q11" s="117"/>
      <x:c r="R11" s="117"/>
      <x:c r="S11" s="117"/>
      <x:c r="T11" s="117"/>
      <x:c r="U11" s="117"/>
    </x:row>
    <x:row r="12">
      <x:c r="A12" s="118" t="str">
        <x:v>Government discount vs. biotech commercial-equivalent ACV</x:v>
      </x:c>
      <x:c r="B12" s="121" t="n">
        <x:v>0.65</x:v>
      </x:c>
      <x:c r="C12" s="120" t="str">
        <x:v>User direction: public-sector pricing at a material goodwill discount</x:v>
      </x:c>
      <x:c r="D12" s="117"/>
      <x:c r="E12" s="117"/>
      <x:c r="F12" s="117"/>
      <x:c r="G12" s="117"/>
      <x:c r="H12" s="117"/>
      <x:c r="I12" s="117"/>
      <x:c r="J12" s="117"/>
      <x:c r="K12" s="117"/>
      <x:c r="L12" s="117"/>
      <x:c r="M12" s="117"/>
      <x:c r="N12" s="117"/>
      <x:c r="O12" s="117"/>
      <x:c r="P12" s="117"/>
      <x:c r="Q12" s="117"/>
      <x:c r="R12" s="117"/>
      <x:c r="S12" s="117"/>
      <x:c r="T12" s="117"/>
      <x:c r="U12" s="117"/>
    </x:row>
    <x:row r="13">
      <x:c r="A13" s="118" t="str">
        <x:v>Toilet-paper ad CPM ($)</x:v>
      </x:c>
      <x:c r="B13" s="119" t="n">
        <x:v>25</x:v>
      </x:c>
      <x:c r="C13" s="120" t="str">
        <x:v>Illustrative media pricing assumption</x:v>
      </x:c>
      <x:c r="D13" s="117"/>
      <x:c r="E13" s="117"/>
      <x:c r="F13" s="117"/>
      <x:c r="G13" s="117"/>
      <x:c r="H13" s="117"/>
      <x:c r="I13" s="117"/>
      <x:c r="J13" s="117"/>
      <x:c r="K13" s="117"/>
      <x:c r="L13" s="117"/>
      <x:c r="M13" s="117"/>
      <x:c r="N13" s="117"/>
      <x:c r="O13" s="117"/>
      <x:c r="P13" s="117"/>
      <x:c r="Q13" s="117"/>
      <x:c r="R13" s="117"/>
      <x:c r="S13" s="117"/>
      <x:c r="T13" s="117"/>
      <x:c r="U13" s="117"/>
    </x:row>
    <x:row r="14">
      <x:c r="A14" s="118" t="str">
        <x:v>Ad impressions per eligible visit</x:v>
      </x:c>
      <x:c r="B14" s="121" t="n">
        <x:v>1.5</x:v>
      </x:c>
      <x:c r="C14" s="120" t="str">
        <x:v>Illustrative assumption</x:v>
      </x:c>
      <x:c r="D14" s="117"/>
      <x:c r="E14" s="117"/>
      <x:c r="F14" s="117"/>
      <x:c r="G14" s="117"/>
      <x:c r="H14" s="117"/>
      <x:c r="I14" s="117"/>
      <x:c r="J14" s="117"/>
      <x:c r="K14" s="117"/>
      <x:c r="L14" s="117"/>
      <x:c r="M14" s="117"/>
      <x:c r="N14" s="117"/>
      <x:c r="O14" s="117"/>
      <x:c r="P14" s="117"/>
      <x:c r="Q14" s="117"/>
      <x:c r="R14" s="117"/>
      <x:c r="S14" s="117"/>
      <x:c r="T14" s="117"/>
      <x:c r="U14" s="117"/>
    </x:row>
    <x:row r="15">
      <x:c r="A15" s="118" t="str">
        <x:v>Toilet-paper ad fill rate</x:v>
      </x:c>
      <x:c r="B15" s="121" t="n">
        <x:v>0.65</x:v>
      </x:c>
      <x:c r="C15" s="120" t="str">
        <x:v>Illustrative assumption</x:v>
      </x:c>
      <x:c r="D15" s="117"/>
      <x:c r="E15" s="117"/>
      <x:c r="F15" s="117"/>
      <x:c r="G15" s="117"/>
      <x:c r="H15" s="117"/>
      <x:c r="I15" s="117"/>
      <x:c r="J15" s="117"/>
      <x:c r="K15" s="117"/>
      <x:c r="L15" s="117"/>
      <x:c r="M15" s="117"/>
      <x:c r="N15" s="117"/>
      <x:c r="O15" s="117"/>
      <x:c r="P15" s="117"/>
      <x:c r="Q15" s="117"/>
      <x:c r="R15" s="117"/>
      <x:c r="S15" s="117"/>
      <x:c r="T15" s="117"/>
      <x:c r="U15" s="117"/>
    </x:row>
    <x:row r="16">
      <x:c r="A16" s="118" t="str">
        <x:v>Ad-eligible share of visits</x:v>
      </x:c>
      <x:c r="B16" s="121" t="n">
        <x:v>0.5</x:v>
      </x:c>
      <x:c r="C16" s="120" t="str">
        <x:v>Illustrative assumption</x:v>
      </x:c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U16" s="117"/>
    </x:row>
    <x:row r="17">
      <x:c r="A17" s="118" t="str">
        <x:v>Toilet-paper media direct cost (% of ad revenue)</x:v>
      </x:c>
      <x:c r="B17" s="121" t="n">
        <x:v>0.4</x:v>
      </x:c>
      <x:c r="C17" s="120" t="str">
        <x:v>Illustrative printing / distribution / rev-share cost</x:v>
      </x:c>
      <x:c r="D17" s="117"/>
      <x:c r="E17" s="117"/>
      <x:c r="F17" s="117"/>
      <x:c r="G17" s="117"/>
      <x:c r="H17" s="117"/>
      <x:c r="I17" s="117"/>
      <x:c r="J17" s="117"/>
      <x:c r="K17" s="117"/>
      <x:c r="L17" s="117"/>
      <x:c r="M17" s="117"/>
      <x:c r="N17" s="117"/>
      <x:c r="O17" s="117"/>
      <x:c r="P17" s="117"/>
      <x:c r="Q17" s="117"/>
      <x:c r="R17" s="117"/>
      <x:c r="S17" s="117"/>
      <x:c r="T17" s="117"/>
      <x:c r="U17" s="117"/>
    </x:row>
    <x:row r="18">
      <x:c r="A18" s="118" t="str">
        <x:v>Health-data explicit consent rate</x:v>
      </x:c>
      <x:c r="B18" s="121" t="n">
        <x:v>0.15</x:v>
      </x:c>
      <x:c r="C18" s="120" t="str">
        <x:v>Illustrative; opt-in only</x:v>
      </x:c>
      <x:c r="D18" s="117"/>
      <x:c r="E18" s="117"/>
      <x:c r="F18" s="117"/>
      <x:c r="G18" s="117"/>
      <x:c r="H18" s="117"/>
      <x:c r="I18" s="117"/>
      <x:c r="J18" s="117"/>
      <x:c r="K18" s="117"/>
      <x:c r="L18" s="117"/>
      <x:c r="M18" s="117"/>
      <x:c r="N18" s="117"/>
      <x:c r="O18" s="117"/>
      <x:c r="P18" s="117"/>
      <x:c r="Q18" s="117"/>
      <x:c r="R18" s="117"/>
      <x:c r="S18" s="117"/>
      <x:c r="T18" s="117"/>
      <x:c r="U18" s="117"/>
    </x:row>
    <x:row r="19">
      <x:c r="A19" s="118" t="str">
        <x:v>Starting data / cloud cost ($ / tracked visit)</x:v>
      </x:c>
      <x:c r="B19" s="119" t="n">
        <x:v>0.004</x:v>
      </x:c>
      <x:c r="C19" s="120" t="str">
        <x:v>Illustrative</x:v>
      </x:c>
      <x:c r="D19" s="117"/>
      <x:c r="E19" s="117"/>
      <x:c r="F19" s="117"/>
      <x:c r="G19" s="117"/>
      <x:c r="H19" s="117"/>
      <x:c r="I19" s="117"/>
      <x:c r="J19" s="117"/>
      <x:c r="K19" s="117"/>
      <x:c r="L19" s="117"/>
      <x:c r="M19" s="117"/>
      <x:c r="N19" s="117"/>
      <x:c r="O19" s="117"/>
      <x:c r="P19" s="117"/>
      <x:c r="Q19" s="117"/>
      <x:c r="R19" s="117"/>
      <x:c r="S19" s="117"/>
      <x:c r="T19" s="117"/>
      <x:c r="U19" s="117"/>
    </x:row>
    <x:row r="20">
      <x:c r="A20" s="118" t="str">
        <x:v>Annual decline in data / cloud cost</x:v>
      </x:c>
      <x:c r="B20" s="121" t="n">
        <x:v>0.05</x:v>
      </x:c>
      <x:c r="C20" s="120" t="str">
        <x:v>Illustrative scale efficiency</x:v>
      </x:c>
      <x:c r="D20" s="117"/>
      <x:c r="E20" s="117"/>
      <x:c r="F20" s="117"/>
      <x:c r="G20" s="117"/>
      <x:c r="H20" s="117"/>
      <x:c r="I20" s="117"/>
      <x:c r="J20" s="117"/>
      <x:c r="K20" s="117"/>
      <x:c r="L20" s="117"/>
      <x:c r="M20" s="117"/>
      <x:c r="N20" s="117"/>
      <x:c r="O20" s="117"/>
      <x:c r="P20" s="117"/>
      <x:c r="Q20" s="117"/>
      <x:c r="R20" s="117"/>
      <x:c r="S20" s="117"/>
      <x:c r="T20" s="117"/>
      <x:c r="U20" s="117"/>
    </x:row>
    <x:row r="21">
      <x:c r="A21" s="118" t="str">
        <x:v>Annual fully loaded compensation inflation</x:v>
      </x:c>
      <x:c r="B21" s="121" t="n">
        <x:v>0.03</x:v>
      </x:c>
      <x:c r="C21" s="120" t="str">
        <x:v>Illustrative</x:v>
      </x:c>
      <x:c r="D21" s="117"/>
      <x:c r="E21" s="117"/>
      <x:c r="F21" s="117"/>
      <x:c r="G21" s="117"/>
      <x:c r="H21" s="117"/>
      <x:c r="I21" s="117"/>
      <x:c r="J21" s="117"/>
      <x:c r="K21" s="117"/>
      <x:c r="L21" s="117"/>
      <x:c r="M21" s="117"/>
      <x:c r="N21" s="117"/>
      <x:c r="O21" s="117"/>
      <x:c r="P21" s="117"/>
      <x:c r="Q21" s="117"/>
      <x:c r="R21" s="117"/>
      <x:c r="S21" s="117"/>
      <x:c r="T21" s="117"/>
      <x:c r="U21" s="117"/>
    </x:row>
    <x:row r="22">
      <x:c r="A22" s="118" t="str">
        <x:v>Sensor annual maintenance ($ / enabled location)</x:v>
      </x:c>
      <x:c r="B22" s="119" t="n">
        <x:v>40</x:v>
      </x:c>
      <x:c r="C22" s="120" t="str">
        <x:v>Illustrative</x:v>
      </x:c>
      <x:c r="D22" s="117"/>
      <x:c r="E22" s="117"/>
      <x:c r="F22" s="117"/>
      <x:c r="G22" s="117"/>
      <x:c r="H22" s="117"/>
      <x:c r="I22" s="117"/>
      <x:c r="J22" s="117"/>
      <x:c r="K22" s="117"/>
      <x:c r="L22" s="117"/>
      <x:c r="M22" s="117"/>
      <x:c r="N22" s="117"/>
      <x:c r="O22" s="117"/>
      <x:c r="P22" s="117"/>
      <x:c r="Q22" s="117"/>
      <x:c r="R22" s="117"/>
      <x:c r="S22" s="117"/>
      <x:c r="T22" s="117"/>
      <x:c r="U22" s="117"/>
    </x:row>
    <x:row r="23">
      <x:c r="A23" s="118" t="str">
        <x:v>IT / office capex ($000 / net new employee)</x:v>
      </x:c>
      <x:c r="B23" s="119" t="n">
        <x:v>5</x:v>
      </x:c>
      <x:c r="C23" s="120" t="str">
        <x:v>Illustrative</x:v>
      </x:c>
      <x:c r="D23" s="117"/>
      <x:c r="E23" s="117"/>
      <x:c r="F23" s="117"/>
      <x:c r="G23" s="117"/>
      <x:c r="H23" s="117"/>
      <x:c r="I23" s="117"/>
      <x:c r="J23" s="117"/>
      <x:c r="K23" s="117"/>
      <x:c r="L23" s="117"/>
      <x:c r="M23" s="117"/>
      <x:c r="N23" s="117"/>
      <x:c r="O23" s="117"/>
      <x:c r="P23" s="117"/>
      <x:c r="Q23" s="117"/>
      <x:c r="R23" s="117"/>
      <x:c r="S23" s="117"/>
      <x:c r="T23" s="117"/>
      <x:c r="U23" s="117"/>
    </x:row>
    <x:row r="24">
      <x:c r="A24" s="117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  <x:c r="L24" s="117"/>
      <x:c r="M24" s="117"/>
      <x:c r="N24" s="117"/>
      <x:c r="O24" s="117"/>
      <x:c r="P24" s="117"/>
      <x:c r="Q24" s="117"/>
      <x:c r="R24" s="117"/>
      <x:c r="S24" s="117"/>
      <x:c r="T24" s="117"/>
      <x:c r="U24" s="117"/>
    </x:row>
    <x:row r="25" ht="20" customHeight="1">
      <x:c r="A25" s="18" t="str">
        <x:v>Starting Scale / Client Assumptions</x:v>
      </x:c>
      <x:c r="B25" s="18"/>
      <x:c r="C25" s="18"/>
      <x:c r="D25" s="18"/>
      <x:c r="E25" s="117"/>
      <x:c r="F25" s="117"/>
      <x:c r="G25" s="117"/>
      <x:c r="H25" s="117"/>
      <x:c r="I25" s="117"/>
      <x:c r="J25" s="117"/>
      <x:c r="K25" s="117"/>
      <x:c r="L25" s="117"/>
      <x:c r="M25" s="117"/>
      <x:c r="N25" s="117"/>
      <x:c r="O25" s="117"/>
      <x:c r="P25" s="117"/>
      <x:c r="Q25" s="117"/>
      <x:c r="R25" s="117"/>
      <x:c r="S25" s="117"/>
      <x:c r="T25" s="117"/>
      <x:c r="U25" s="117"/>
    </x:row>
    <x:row r="26">
      <x:c r="A26" s="117" t="str">
        <x:v>Starting members (mm)</x:v>
      </x:c>
      <x:c r="B26" s="123" t="n">
        <x:v>0.2</x:v>
      </x:c>
      <x:c r="C26" s="120" t="str">
        <x:v>Illustrative launch-year scale</x:v>
      </x:c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  <x:c r="O26" s="117"/>
      <x:c r="P26" s="117"/>
      <x:c r="Q26" s="117"/>
      <x:c r="R26" s="117"/>
      <x:c r="S26" s="117"/>
      <x:c r="T26" s="117"/>
      <x:c r="U26" s="117"/>
    </x:row>
    <x:row r="27">
      <x:c r="A27" s="117" t="str">
        <x:v>Starting partner bathrooms (000s)</x:v>
      </x:c>
      <x:c r="B27" s="123" t="n">
        <x:v>1.5</x:v>
      </x:c>
      <x:c r="C27" s="120" t="str">
        <x:v>Illustrative launch-year network</x:v>
      </x:c>
      <x:c r="D27" s="117"/>
      <x:c r="E27" s="117"/>
      <x:c r="F27" s="117"/>
      <x:c r="G27" s="117"/>
      <x:c r="H27" s="117"/>
      <x:c r="I27" s="117"/>
      <x:c r="J27" s="117"/>
      <x:c r="K27" s="117"/>
      <x:c r="L27" s="117"/>
      <x:c r="M27" s="117"/>
      <x:c r="N27" s="117"/>
      <x:c r="O27" s="117"/>
      <x:c r="P27" s="117"/>
      <x:c r="Q27" s="117"/>
      <x:c r="R27" s="117"/>
      <x:c r="S27" s="117"/>
      <x:c r="T27" s="117"/>
      <x:c r="U27" s="117"/>
    </x:row>
    <x:row r="28">
      <x:c r="A28" s="117" t="str">
        <x:v>Starting financial / alt-data clients</x:v>
      </x:c>
      <x:c r="B28" s="122" t="n">
        <x:v>5</x:v>
      </x:c>
      <x:c r="C28" s="120" t="str">
        <x:v>Illustrative</x:v>
      </x:c>
      <x:c r="D28" s="117"/>
      <x:c r="E28" s="117"/>
      <x:c r="F28" s="117"/>
      <x:c r="G28" s="117"/>
      <x:c r="H28" s="117"/>
      <x:c r="I28" s="117"/>
      <x:c r="J28" s="117"/>
      <x:c r="K28" s="117"/>
      <x:c r="L28" s="117"/>
      <x:c r="M28" s="117"/>
      <x:c r="N28" s="117"/>
      <x:c r="O28" s="117"/>
      <x:c r="P28" s="117"/>
      <x:c r="Q28" s="117"/>
      <x:c r="R28" s="117"/>
      <x:c r="S28" s="117"/>
      <x:c r="T28" s="117"/>
      <x:c r="U28" s="117"/>
    </x:row>
    <x:row r="29">
      <x:c r="A29" s="117" t="str">
        <x:v>Starting financial / alt-data ACV ($mm)</x:v>
      </x:c>
      <x:c r="B29" s="123" t="n">
        <x:v>0.25</x:v>
      </x:c>
      <x:c r="C29" s="120" t="str">
        <x:v>Illustrative</x:v>
      </x:c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  <x:c r="O29" s="117"/>
      <x:c r="P29" s="117"/>
      <x:c r="Q29" s="117"/>
      <x:c r="R29" s="117"/>
      <x:c r="S29" s="117"/>
      <x:c r="T29" s="117"/>
      <x:c r="U29" s="117"/>
    </x:row>
    <x:row r="30">
      <x:c r="A30" s="117" t="str">
        <x:v>Financial / alt-data client cap</x:v>
      </x:c>
      <x:c r="B30" s="122" t="n">
        <x:v>800</x:v>
      </x:c>
      <x:c r="C30" s="120" t="str">
        <x:v>Illustrative long-run client cap</x:v>
      </x:c>
      <x:c r="D30" s="117"/>
      <x:c r="E30" s="117"/>
      <x:c r="F30" s="117"/>
      <x:c r="G30" s="117"/>
      <x:c r="H30" s="117"/>
      <x:c r="I30" s="117"/>
      <x:c r="J30" s="117"/>
      <x:c r="K30" s="117"/>
      <x:c r="L30" s="117"/>
      <x:c r="M30" s="117"/>
      <x:c r="N30" s="117"/>
      <x:c r="O30" s="117"/>
      <x:c r="P30" s="117"/>
      <x:c r="Q30" s="117"/>
      <x:c r="R30" s="117"/>
      <x:c r="S30" s="117"/>
      <x:c r="T30" s="117"/>
      <x:c r="U30" s="117"/>
    </x:row>
    <x:row r="31">
      <x:c r="A31" s="117" t="str">
        <x:v>Starting biotech / research clients</x:v>
      </x:c>
      <x:c r="B31" s="122" t="n">
        <x:v>3</x:v>
      </x:c>
      <x:c r="C31" s="120" t="str">
        <x:v>Illustrative</x:v>
      </x:c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7"/>
      <x:c r="N31" s="117"/>
      <x:c r="O31" s="117"/>
      <x:c r="P31" s="117"/>
      <x:c r="Q31" s="117"/>
      <x:c r="R31" s="117"/>
      <x:c r="S31" s="117"/>
      <x:c r="T31" s="117"/>
      <x:c r="U31" s="117"/>
    </x:row>
    <x:row r="32">
      <x:c r="A32" s="117" t="str">
        <x:v>Starting biotech ACV ($mm)</x:v>
      </x:c>
      <x:c r="B32" s="123" t="n">
        <x:v>0.35</x:v>
      </x:c>
      <x:c r="C32" s="120" t="str">
        <x:v>Illustrative</x:v>
      </x:c>
      <x:c r="D32" s="117"/>
      <x:c r="E32" s="117"/>
      <x:c r="F32" s="117"/>
      <x:c r="G32" s="117"/>
      <x:c r="H32" s="117"/>
      <x:c r="I32" s="117"/>
      <x:c r="J32" s="117"/>
      <x:c r="K32" s="117"/>
      <x:c r="L32" s="117"/>
      <x:c r="M32" s="117"/>
      <x:c r="N32" s="117"/>
      <x:c r="O32" s="117"/>
      <x:c r="P32" s="117"/>
      <x:c r="Q32" s="117"/>
      <x:c r="R32" s="117"/>
      <x:c r="S32" s="117"/>
      <x:c r="T32" s="117"/>
      <x:c r="U32" s="117"/>
    </x:row>
    <x:row r="33">
      <x:c r="A33" s="117" t="str">
        <x:v>Biotech client cap</x:v>
      </x:c>
      <x:c r="B33" s="122" t="n">
        <x:v>600</x:v>
      </x:c>
      <x:c r="C33" s="120" t="str">
        <x:v>Illustrative long-run client cap</x:v>
      </x:c>
      <x:c r="D33" s="117"/>
      <x:c r="E33" s="117"/>
      <x:c r="F33" s="117"/>
      <x:c r="G33" s="117"/>
      <x:c r="H33" s="117"/>
      <x:c r="I33" s="117"/>
      <x:c r="J33" s="117"/>
      <x:c r="K33" s="117"/>
      <x:c r="L33" s="117"/>
      <x:c r="M33" s="117"/>
      <x:c r="N33" s="117"/>
      <x:c r="O33" s="117"/>
      <x:c r="P33" s="117"/>
      <x:c r="Q33" s="117"/>
      <x:c r="R33" s="117"/>
      <x:c r="S33" s="117"/>
      <x:c r="T33" s="117"/>
      <x:c r="U33" s="117"/>
    </x:row>
    <x:row r="34">
      <x:c r="A34" s="117" t="str">
        <x:v>Starting government / municipal clients</x:v>
      </x:c>
      <x:c r="B34" s="122" t="n">
        <x:v>5</x:v>
      </x:c>
      <x:c r="C34" s="120" t="str">
        <x:v>Illustrative</x:v>
      </x:c>
      <x:c r="D34" s="117"/>
      <x:c r="E34" s="117"/>
      <x:c r="F34" s="117"/>
      <x:c r="G34" s="117"/>
      <x:c r="H34" s="117"/>
      <x:c r="I34" s="117"/>
      <x:c r="J34" s="117"/>
      <x:c r="K34" s="117"/>
      <x:c r="L34" s="117"/>
      <x:c r="M34" s="117"/>
      <x:c r="N34" s="117"/>
      <x:c r="O34" s="117"/>
      <x:c r="P34" s="117"/>
      <x:c r="Q34" s="117"/>
      <x:c r="R34" s="117"/>
      <x:c r="S34" s="117"/>
      <x:c r="T34" s="117"/>
      <x:c r="U34" s="117"/>
    </x:row>
    <x:row r="35">
      <x:c r="A35" s="117" t="str">
        <x:v>Government / municipal client cap</x:v>
      </x:c>
      <x:c r="B35" s="122" t="n">
        <x:v>1500</x:v>
      </x:c>
      <x:c r="C35" s="120" t="str">
        <x:v>Illustrative global client cap</x:v>
      </x:c>
      <x:c r="D35" s="117"/>
      <x:c r="E35" s="117"/>
      <x:c r="F35" s="117"/>
      <x:c r="G35" s="117"/>
      <x:c r="H35" s="117"/>
      <x:c r="I35" s="117"/>
      <x:c r="J35" s="117"/>
      <x:c r="K35" s="117"/>
      <x:c r="L35" s="117"/>
      <x:c r="M35" s="117"/>
      <x:c r="N35" s="117"/>
      <x:c r="O35" s="117"/>
      <x:c r="P35" s="117"/>
      <x:c r="Q35" s="117"/>
      <x:c r="R35" s="117"/>
      <x:c r="S35" s="117"/>
      <x:c r="T35" s="117"/>
      <x:c r="U35" s="117"/>
    </x:row>
    <x:row r="36">
      <x:c r="A36" s="117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  <x:c r="L36" s="117"/>
      <x:c r="M36" s="117"/>
      <x:c r="N36" s="117"/>
      <x:c r="O36" s="117"/>
      <x:c r="P36" s="117"/>
      <x:c r="Q36" s="117"/>
      <x:c r="R36" s="117"/>
      <x:c r="S36" s="117"/>
      <x:c r="T36" s="117"/>
      <x:c r="U36" s="117"/>
    </x:row>
    <x:row r="37" ht="20" customHeight="1">
      <x:c r="A37" s="18" t="str">
        <x:v>Year-by-Year Growth &amp; Monetization Drivers</x:v>
      </x:c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</x:row>
    <x:row r="38">
      <x:c r="A38" s="124" t="str">
        <x:v>Metric</x:v>
      </x:c>
      <x:c r="B38" s="125" t="str">
        <x:v>2027E</x:v>
      </x:c>
      <x:c r="C38" s="125" t="str">
        <x:v>2028E</x:v>
      </x:c>
      <x:c r="D38" s="125" t="str">
        <x:v>2029E</x:v>
      </x:c>
      <x:c r="E38" s="125" t="str">
        <x:v>2030E</x:v>
      </x:c>
      <x:c r="F38" s="125" t="str">
        <x:v>2031E</x:v>
      </x:c>
      <x:c r="G38" s="125" t="str">
        <x:v>2032E</x:v>
      </x:c>
      <x:c r="H38" s="125" t="str">
        <x:v>2033E</x:v>
      </x:c>
      <x:c r="I38" s="125" t="str">
        <x:v>2034E</x:v>
      </x:c>
      <x:c r="J38" s="125" t="str">
        <x:v>2035E</x:v>
      </x:c>
      <x:c r="K38" s="125" t="str">
        <x:v>2036E</x:v>
      </x:c>
      <x:c r="L38" s="125" t="str">
        <x:v>2037E</x:v>
      </x:c>
      <x:c r="M38" s="125" t="str">
        <x:v>2038E</x:v>
      </x:c>
      <x:c r="N38" s="125" t="str">
        <x:v>2039E</x:v>
      </x:c>
      <x:c r="O38" s="125" t="str">
        <x:v>2040E</x:v>
      </x:c>
      <x:c r="P38" s="125" t="str">
        <x:v>2041E</x:v>
      </x:c>
      <x:c r="Q38" s="125" t="str">
        <x:v>2042E</x:v>
      </x:c>
      <x:c r="R38" s="125" t="str">
        <x:v>2043E</x:v>
      </x:c>
      <x:c r="S38" s="125" t="str">
        <x:v>2044E</x:v>
      </x:c>
      <x:c r="T38" s="125" t="str">
        <x:v>2045E</x:v>
      </x:c>
      <x:c r="U38" s="125" t="str">
        <x:v>2046E</x:v>
      </x:c>
    </x:row>
    <x:row r="39">
      <x:c r="A39" s="117" t="str">
        <x:v>Member growth</x:v>
      </x:c>
      <x:c r="B39" s="121"/>
      <x:c r="C39" s="121" t="n">
        <x:v>2.5</x:v>
      </x:c>
      <x:c r="D39" s="121" t="n">
        <x:v>2</x:v>
      </x:c>
      <x:c r="E39" s="121" t="n">
        <x:v>1.5</x:v>
      </x:c>
      <x:c r="F39" s="121" t="n">
        <x:v>1</x:v>
      </x:c>
      <x:c r="G39" s="121" t="n">
        <x:v>0.75</x:v>
      </x:c>
      <x:c r="H39" s="121" t="n">
        <x:v>0.6</x:v>
      </x:c>
      <x:c r="I39" s="121" t="n">
        <x:v>0.5</x:v>
      </x:c>
      <x:c r="J39" s="121" t="n">
        <x:v>0.4</x:v>
      </x:c>
      <x:c r="K39" s="121" t="n">
        <x:v>0.35</x:v>
      </x:c>
      <x:c r="L39" s="121" t="n">
        <x:v>0.3</x:v>
      </x:c>
      <x:c r="M39" s="121" t="n">
        <x:v>0.25</x:v>
      </x:c>
      <x:c r="N39" s="121" t="n">
        <x:v>0.22</x:v>
      </x:c>
      <x:c r="O39" s="121" t="n">
        <x:v>0.2</x:v>
      </x:c>
      <x:c r="P39" s="121" t="n">
        <x:v>0.18</x:v>
      </x:c>
      <x:c r="Q39" s="121" t="n">
        <x:v>0.16</x:v>
      </x:c>
      <x:c r="R39" s="121" t="n">
        <x:v>0.14</x:v>
      </x:c>
      <x:c r="S39" s="121" t="n">
        <x:v>0.12</x:v>
      </x:c>
      <x:c r="T39" s="121" t="n">
        <x:v>0.1</x:v>
      </x:c>
      <x:c r="U39" s="121" t="n">
        <x:v>0.08</x:v>
      </x:c>
    </x:row>
    <x:row r="40">
      <x:c r="A40" s="117" t="str">
        <x:v>Partner bathroom growth</x:v>
      </x:c>
      <x:c r="B40" s="121"/>
      <x:c r="C40" s="121" t="n">
        <x:v>2</x:v>
      </x:c>
      <x:c r="D40" s="121" t="n">
        <x:v>1.5</x:v>
      </x:c>
      <x:c r="E40" s="121" t="n">
        <x:v>1</x:v>
      </x:c>
      <x:c r="F40" s="121" t="n">
        <x:v>0.8</x:v>
      </x:c>
      <x:c r="G40" s="121" t="n">
        <x:v>0.6</x:v>
      </x:c>
      <x:c r="H40" s="121" t="n">
        <x:v>0.45</x:v>
      </x:c>
      <x:c r="I40" s="121" t="n">
        <x:v>0.4</x:v>
      </x:c>
      <x:c r="J40" s="121" t="n">
        <x:v>0.35</x:v>
      </x:c>
      <x:c r="K40" s="121" t="n">
        <x:v>0.3</x:v>
      </x:c>
      <x:c r="L40" s="121" t="n">
        <x:v>0.25</x:v>
      </x:c>
      <x:c r="M40" s="121" t="n">
        <x:v>0.22</x:v>
      </x:c>
      <x:c r="N40" s="121" t="n">
        <x:v>0.2</x:v>
      </x:c>
      <x:c r="O40" s="121" t="n">
        <x:v>0.18</x:v>
      </x:c>
      <x:c r="P40" s="121" t="n">
        <x:v>0.16</x:v>
      </x:c>
      <x:c r="Q40" s="121" t="n">
        <x:v>0.14</x:v>
      </x:c>
      <x:c r="R40" s="121" t="n">
        <x:v>0.12</x:v>
      </x:c>
      <x:c r="S40" s="121" t="n">
        <x:v>0.1</x:v>
      </x:c>
      <x:c r="T40" s="121" t="n">
        <x:v>0.08</x:v>
      </x:c>
      <x:c r="U40" s="121" t="n">
        <x:v>0.07</x:v>
      </x:c>
    </x:row>
    <x:row r="41">
      <x:c r="A41" s="117" t="str">
        <x:v>Visits / member / year</x:v>
      </x:c>
      <x:c r="B41" s="123" t="n">
        <x:v>4</x:v>
      </x:c>
      <x:c r="C41" s="123" t="n">
        <x:v>5</x:v>
      </x:c>
      <x:c r="D41" s="123" t="n">
        <x:v>6</x:v>
      </x:c>
      <x:c r="E41" s="123" t="n">
        <x:v>7</x:v>
      </x:c>
      <x:c r="F41" s="123" t="n">
        <x:v>8</x:v>
      </x:c>
      <x:c r="G41" s="123" t="n">
        <x:v>9</x:v>
      </x:c>
      <x:c r="H41" s="123" t="n">
        <x:v>10</x:v>
      </x:c>
      <x:c r="I41" s="123" t="n">
        <x:v>11</x:v>
      </x:c>
      <x:c r="J41" s="123" t="n">
        <x:v>12</x:v>
      </x:c>
      <x:c r="K41" s="123" t="n">
        <x:v>13</x:v>
      </x:c>
      <x:c r="L41" s="123" t="n">
        <x:v>14</x:v>
      </x:c>
      <x:c r="M41" s="123" t="n">
        <x:v>15</x:v>
      </x:c>
      <x:c r="N41" s="123" t="n">
        <x:v>16</x:v>
      </x:c>
      <x:c r="O41" s="123" t="n">
        <x:v>17</x:v>
      </x:c>
      <x:c r="P41" s="123" t="n">
        <x:v>18</x:v>
      </x:c>
      <x:c r="Q41" s="123" t="n">
        <x:v>19</x:v>
      </x:c>
      <x:c r="R41" s="123" t="n">
        <x:v>20</x:v>
      </x:c>
      <x:c r="S41" s="123" t="n">
        <x:v>21</x:v>
      </x:c>
      <x:c r="T41" s="123" t="n">
        <x:v>22</x:v>
      </x:c>
      <x:c r="U41" s="123" t="n">
        <x:v>22</x:v>
      </x:c>
    </x:row>
    <x:row r="42">
      <x:c r="A42" s="117" t="str">
        <x:v>Sensor-enabled % of partner bathrooms</x:v>
      </x:c>
      <x:c r="B42" s="121" t="n">
        <x:v>0.02</x:v>
      </x:c>
      <x:c r="C42" s="121" t="n">
        <x:v>0.03</x:v>
      </x:c>
      <x:c r="D42" s="121" t="n">
        <x:v>0.05</x:v>
      </x:c>
      <x:c r="E42" s="121" t="n">
        <x:v>0.08</x:v>
      </x:c>
      <x:c r="F42" s="121" t="n">
        <x:v>0.12</x:v>
      </x:c>
      <x:c r="G42" s="121" t="n">
        <x:v>0.16</x:v>
      </x:c>
      <x:c r="H42" s="121" t="n">
        <x:v>0.2</x:v>
      </x:c>
      <x:c r="I42" s="121" t="n">
        <x:v>0.24</x:v>
      </x:c>
      <x:c r="J42" s="121" t="n">
        <x:v>0.28</x:v>
      </x:c>
      <x:c r="K42" s="121" t="n">
        <x:v>0.32</x:v>
      </x:c>
      <x:c r="L42" s="121" t="n">
        <x:v>0.36</x:v>
      </x:c>
      <x:c r="M42" s="121" t="n">
        <x:v>0.4</x:v>
      </x:c>
      <x:c r="N42" s="121" t="n">
        <x:v>0.43</x:v>
      </x:c>
      <x:c r="O42" s="121" t="n">
        <x:v>0.46</x:v>
      </x:c>
      <x:c r="P42" s="121" t="n">
        <x:v>0.49</x:v>
      </x:c>
      <x:c r="Q42" s="121" t="n">
        <x:v>0.52</x:v>
      </x:c>
      <x:c r="R42" s="121" t="n">
        <x:v>0.55</x:v>
      </x:c>
      <x:c r="S42" s="121" t="n">
        <x:v>0.58</x:v>
      </x:c>
      <x:c r="T42" s="121" t="n">
        <x:v>0.6</x:v>
      </x:c>
      <x:c r="U42" s="121" t="n">
        <x:v>0.62</x:v>
      </x:c>
    </x:row>
    <x:row r="43">
      <x:c r="A43" s="117" t="str">
        <x:v>Financial / alt-data client growth</x:v>
      </x:c>
      <x:c r="B43" s="121"/>
      <x:c r="C43" s="121" t="n">
        <x:v>1</x:v>
      </x:c>
      <x:c r="D43" s="121" t="n">
        <x:v>0.8</x:v>
      </x:c>
      <x:c r="E43" s="121" t="n">
        <x:v>0.7</x:v>
      </x:c>
      <x:c r="F43" s="121" t="n">
        <x:v>0.6</x:v>
      </x:c>
      <x:c r="G43" s="121" t="n">
        <x:v>0.5</x:v>
      </x:c>
      <x:c r="H43" s="121" t="n">
        <x:v>0.45</x:v>
      </x:c>
      <x:c r="I43" s="121" t="n">
        <x:v>0.4</x:v>
      </x:c>
      <x:c r="J43" s="121" t="n">
        <x:v>0.35</x:v>
      </x:c>
      <x:c r="K43" s="121" t="n">
        <x:v>0.3</x:v>
      </x:c>
      <x:c r="L43" s="121" t="n">
        <x:v>0.25</x:v>
      </x:c>
      <x:c r="M43" s="121" t="n">
        <x:v>0.22</x:v>
      </x:c>
      <x:c r="N43" s="121" t="n">
        <x:v>0.2</x:v>
      </x:c>
      <x:c r="O43" s="121" t="n">
        <x:v>0.18</x:v>
      </x:c>
      <x:c r="P43" s="121" t="n">
        <x:v>0.16</x:v>
      </x:c>
      <x:c r="Q43" s="121" t="n">
        <x:v>0.14</x:v>
      </x:c>
      <x:c r="R43" s="121" t="n">
        <x:v>0.12</x:v>
      </x:c>
      <x:c r="S43" s="121" t="n">
        <x:v>0.1</x:v>
      </x:c>
      <x:c r="T43" s="121" t="n">
        <x:v>0.08</x:v>
      </x:c>
      <x:c r="U43" s="121" t="n">
        <x:v>0.06</x:v>
      </x:c>
    </x:row>
    <x:row r="44">
      <x:c r="A44" s="117" t="str">
        <x:v>Financial / alt-data ACV growth</x:v>
      </x:c>
      <x:c r="B44" s="121"/>
      <x:c r="C44" s="121" t="n">
        <x:v>0.15</x:v>
      </x:c>
      <x:c r="D44" s="121" t="n">
        <x:v>0.15</x:v>
      </x:c>
      <x:c r="E44" s="121" t="n">
        <x:v>0.15</x:v>
      </x:c>
      <x:c r="F44" s="121" t="n">
        <x:v>0.12</x:v>
      </x:c>
      <x:c r="G44" s="121" t="n">
        <x:v>0.12</x:v>
      </x:c>
      <x:c r="H44" s="121" t="n">
        <x:v>0.1</x:v>
      </x:c>
      <x:c r="I44" s="121" t="n">
        <x:v>0.1</x:v>
      </x:c>
      <x:c r="J44" s="121" t="n">
        <x:v>0.1</x:v>
      </x:c>
      <x:c r="K44" s="121" t="n">
        <x:v>0.08</x:v>
      </x:c>
      <x:c r="L44" s="121" t="n">
        <x:v>0.08</x:v>
      </x:c>
      <x:c r="M44" s="121" t="n">
        <x:v>0.08</x:v>
      </x:c>
      <x:c r="N44" s="121" t="n">
        <x:v>0.07</x:v>
      </x:c>
      <x:c r="O44" s="121" t="n">
        <x:v>0.07</x:v>
      </x:c>
      <x:c r="P44" s="121" t="n">
        <x:v>0.07</x:v>
      </x:c>
      <x:c r="Q44" s="121" t="n">
        <x:v>0.06</x:v>
      </x:c>
      <x:c r="R44" s="121" t="n">
        <x:v>0.06</x:v>
      </x:c>
      <x:c r="S44" s="121" t="n">
        <x:v>0.05</x:v>
      </x:c>
      <x:c r="T44" s="121" t="n">
        <x:v>0.05</x:v>
      </x:c>
      <x:c r="U44" s="121" t="n">
        <x:v>0.05</x:v>
      </x:c>
    </x:row>
    <x:row r="45">
      <x:c r="A45" s="117" t="str">
        <x:v>Biotech client growth</x:v>
      </x:c>
      <x:c r="B45" s="121"/>
      <x:c r="C45" s="121" t="n">
        <x:v>1.2</x:v>
      </x:c>
      <x:c r="D45" s="121" t="n">
        <x:v>1</x:v>
      </x:c>
      <x:c r="E45" s="121" t="n">
        <x:v>0.8</x:v>
      </x:c>
      <x:c r="F45" s="121" t="n">
        <x:v>0.65</x:v>
      </x:c>
      <x:c r="G45" s="121" t="n">
        <x:v>0.55</x:v>
      </x:c>
      <x:c r="H45" s="121" t="n">
        <x:v>0.45</x:v>
      </x:c>
      <x:c r="I45" s="121" t="n">
        <x:v>0.4</x:v>
      </x:c>
      <x:c r="J45" s="121" t="n">
        <x:v>0.35</x:v>
      </x:c>
      <x:c r="K45" s="121" t="n">
        <x:v>0.3</x:v>
      </x:c>
      <x:c r="L45" s="121" t="n">
        <x:v>0.25</x:v>
      </x:c>
      <x:c r="M45" s="121" t="n">
        <x:v>0.22</x:v>
      </x:c>
      <x:c r="N45" s="121" t="n">
        <x:v>0.2</x:v>
      </x:c>
      <x:c r="O45" s="121" t="n">
        <x:v>0.18</x:v>
      </x:c>
      <x:c r="P45" s="121" t="n">
        <x:v>0.16</x:v>
      </x:c>
      <x:c r="Q45" s="121" t="n">
        <x:v>0.14</x:v>
      </x:c>
      <x:c r="R45" s="121" t="n">
        <x:v>0.12</x:v>
      </x:c>
      <x:c r="S45" s="121" t="n">
        <x:v>0.1</x:v>
      </x:c>
      <x:c r="T45" s="121" t="n">
        <x:v>0.08</x:v>
      </x:c>
      <x:c r="U45" s="121" t="n">
        <x:v>0.06</x:v>
      </x:c>
    </x:row>
    <x:row r="46">
      <x:c r="A46" s="117" t="str">
        <x:v>Biotech ACV growth</x:v>
      </x:c>
      <x:c r="B46" s="121"/>
      <x:c r="C46" s="121" t="n">
        <x:v>0.15</x:v>
      </x:c>
      <x:c r="D46" s="121" t="n">
        <x:v>0.15</x:v>
      </x:c>
      <x:c r="E46" s="121" t="n">
        <x:v>0.15</x:v>
      </x:c>
      <x:c r="F46" s="121" t="n">
        <x:v>0.12</x:v>
      </x:c>
      <x:c r="G46" s="121" t="n">
        <x:v>0.12</x:v>
      </x:c>
      <x:c r="H46" s="121" t="n">
        <x:v>0.1</x:v>
      </x:c>
      <x:c r="I46" s="121" t="n">
        <x:v>0.1</x:v>
      </x:c>
      <x:c r="J46" s="121" t="n">
        <x:v>0.1</x:v>
      </x:c>
      <x:c r="K46" s="121" t="n">
        <x:v>0.08</x:v>
      </x:c>
      <x:c r="L46" s="121" t="n">
        <x:v>0.08</x:v>
      </x:c>
      <x:c r="M46" s="121" t="n">
        <x:v>0.08</x:v>
      </x:c>
      <x:c r="N46" s="121" t="n">
        <x:v>0.07</x:v>
      </x:c>
      <x:c r="O46" s="121" t="n">
        <x:v>0.07</x:v>
      </x:c>
      <x:c r="P46" s="121" t="n">
        <x:v>0.07</x:v>
      </x:c>
      <x:c r="Q46" s="121" t="n">
        <x:v>0.06</x:v>
      </x:c>
      <x:c r="R46" s="121" t="n">
        <x:v>0.06</x:v>
      </x:c>
      <x:c r="S46" s="121" t="n">
        <x:v>0.05</x:v>
      </x:c>
      <x:c r="T46" s="121" t="n">
        <x:v>0.05</x:v>
      </x:c>
      <x:c r="U46" s="121" t="n">
        <x:v>0.05</x:v>
      </x:c>
    </x:row>
    <x:row r="47">
      <x:c r="A47" s="117" t="str">
        <x:v>Government / municipal client growth</x:v>
      </x:c>
      <x:c r="B47" s="121"/>
      <x:c r="C47" s="121" t="n">
        <x:v>1.5</x:v>
      </x:c>
      <x:c r="D47" s="121" t="n">
        <x:v>1.2</x:v>
      </x:c>
      <x:c r="E47" s="121" t="n">
        <x:v>1</x:v>
      </x:c>
      <x:c r="F47" s="121" t="n">
        <x:v>0.8</x:v>
      </x:c>
      <x:c r="G47" s="121" t="n">
        <x:v>0.65</x:v>
      </x:c>
      <x:c r="H47" s="121" t="n">
        <x:v>0.55</x:v>
      </x:c>
      <x:c r="I47" s="121" t="n">
        <x:v>0.5</x:v>
      </x:c>
      <x:c r="J47" s="121" t="n">
        <x:v>0.45</x:v>
      </x:c>
      <x:c r="K47" s="121" t="n">
        <x:v>0.4</x:v>
      </x:c>
      <x:c r="L47" s="121" t="n">
        <x:v>0.35</x:v>
      </x:c>
      <x:c r="M47" s="121" t="n">
        <x:v>0.3</x:v>
      </x:c>
      <x:c r="N47" s="121" t="n">
        <x:v>0.25</x:v>
      </x:c>
      <x:c r="O47" s="121" t="n">
        <x:v>0.22</x:v>
      </x:c>
      <x:c r="P47" s="121" t="n">
        <x:v>0.2</x:v>
      </x:c>
      <x:c r="Q47" s="121" t="n">
        <x:v>0.18</x:v>
      </x:c>
      <x:c r="R47" s="121" t="n">
        <x:v>0.16</x:v>
      </x:c>
      <x:c r="S47" s="121" t="n">
        <x:v>0.14</x:v>
      </x:c>
      <x:c r="T47" s="121" t="n">
        <x:v>0.12</x:v>
      </x:c>
      <x:c r="U47" s="121" t="n">
        <x:v>0.1</x:v>
      </x:c>
    </x:row>
    <x:row r="48">
      <x:c r="A48" s="117" t="str">
        <x:v>Marketing CAC ($ / net new member)</x:v>
      </x:c>
      <x:c r="B48" s="119" t="n">
        <x:v>4</x:v>
      </x:c>
      <x:c r="C48" s="119" t="n">
        <x:v>3.5</x:v>
      </x:c>
      <x:c r="D48" s="119" t="n">
        <x:v>3</x:v>
      </x:c>
      <x:c r="E48" s="119" t="n">
        <x:v>2.5</x:v>
      </x:c>
      <x:c r="F48" s="119" t="n">
        <x:v>2</x:v>
      </x:c>
      <x:c r="G48" s="119" t="n">
        <x:v>1.75</x:v>
      </x:c>
      <x:c r="H48" s="119" t="n">
        <x:v>1.5</x:v>
      </x:c>
      <x:c r="I48" s="119" t="n">
        <x:v>1.25</x:v>
      </x:c>
      <x:c r="J48" s="119" t="n">
        <x:v>1.1</x:v>
      </x:c>
      <x:c r="K48" s="119" t="n">
        <x:v>1</x:v>
      </x:c>
      <x:c r="L48" s="119" t="n">
        <x:v>0.9</x:v>
      </x:c>
      <x:c r="M48" s="119" t="n">
        <x:v>0.8</x:v>
      </x:c>
      <x:c r="N48" s="119" t="n">
        <x:v>0.75</x:v>
      </x:c>
      <x:c r="O48" s="119" t="n">
        <x:v>0.7</x:v>
      </x:c>
      <x:c r="P48" s="119" t="n">
        <x:v>0.65</x:v>
      </x:c>
      <x:c r="Q48" s="119" t="n">
        <x:v>0.6</x:v>
      </x:c>
      <x:c r="R48" s="119" t="n">
        <x:v>0.55</x:v>
      </x:c>
      <x:c r="S48" s="119" t="n">
        <x:v>0.5</x:v>
      </x:c>
      <x:c r="T48" s="119" t="n">
        <x:v>0.45</x:v>
      </x:c>
      <x:c r="U48" s="119" t="n">
        <x:v>0.4</x:v>
      </x:c>
    </x:row>
    <x:row r="49">
      <x:c r="A49" s="117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  <x:c r="L49" s="117"/>
      <x:c r="M49" s="117"/>
      <x:c r="N49" s="117"/>
      <x:c r="O49" s="117"/>
      <x:c r="P49" s="117"/>
      <x:c r="Q49" s="117"/>
      <x:c r="R49" s="117"/>
      <x:c r="S49" s="117"/>
      <x:c r="T49" s="117"/>
      <x:c r="U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  <x:c r="L50" s="117"/>
      <x:c r="M50" s="117"/>
      <x:c r="N50" s="117"/>
      <x:c r="O50" s="117"/>
      <x:c r="P50" s="117"/>
      <x:c r="Q50" s="117"/>
      <x:c r="R50" s="117"/>
      <x:c r="S50" s="117"/>
      <x:c r="T50" s="117"/>
      <x:c r="U50" s="117"/>
    </x:row>
    <x:row r="51" ht="20" customHeight="1">
      <x:c r="A51" s="18" t="str">
        <x:v>Headcount / Operating Cost Assumptions</x:v>
      </x:c>
      <x:c r="B51" s="18"/>
      <x:c r="C51" s="18"/>
      <x:c r="D51" s="18"/>
      <x:c r="E51" s="18"/>
      <x:c r="F51" s="18"/>
      <x:c r="G51" s="117"/>
      <x:c r="H51" s="117"/>
      <x:c r="I51" s="117"/>
      <x:c r="J51" s="117"/>
      <x:c r="K51" s="117"/>
      <x:c r="L51" s="117"/>
      <x:c r="M51" s="117"/>
      <x:c r="N51" s="117"/>
      <x:c r="O51" s="117"/>
      <x:c r="P51" s="117"/>
      <x:c r="Q51" s="117"/>
      <x:c r="R51" s="117"/>
      <x:c r="S51" s="117"/>
      <x:c r="T51" s="117"/>
      <x:c r="U51" s="117"/>
    </x:row>
    <x:row r="52">
      <x:c r="A52" s="126" t="str">
        <x:v>Department</x:v>
      </x:c>
      <x:c r="B52" s="126" t="str">
        <x:v>Starting FLC ($000)</x:v>
      </x:c>
      <x:c r="C52" s="126" t="str">
        <x:v>Member scaling</x:v>
      </x:c>
      <x:c r="D52" s="126" t="str">
        <x:v>Location scaling</x:v>
      </x:c>
      <x:c r="E52" s="126" t="str">
        <x:v>Client scaling</x:v>
      </x:c>
      <x:c r="F52" s="126" t="str">
        <x:v>Notes</x:v>
      </x:c>
      <x:c r="G52" s="117"/>
      <x:c r="H52" s="117"/>
      <x:c r="I52" s="117"/>
      <x:c r="J52" s="117"/>
      <x:c r="K52" s="117"/>
      <x:c r="L52" s="117"/>
      <x:c r="M52" s="117"/>
      <x:c r="N52" s="117"/>
      <x:c r="O52" s="117"/>
      <x:c r="P52" s="117"/>
      <x:c r="Q52" s="117"/>
      <x:c r="R52" s="117"/>
      <x:c r="S52" s="117"/>
      <x:c r="T52" s="117"/>
      <x:c r="U52" s="117"/>
    </x:row>
    <x:row r="53">
      <x:c r="A53" s="117" t="str">
        <x:v>Product &amp; Engineering</x:v>
      </x:c>
      <x:c r="B53" s="127" t="n">
        <x:v>220</x:v>
      </x:c>
      <x:c r="C53" s="123" t="n">
        <x:v>2</x:v>
      </x:c>
      <x:c r="D53" s="123" t="n">
        <x:v>0.2</x:v>
      </x:c>
      <x:c r="E53" s="123" t="n">
        <x:v>0</x:v>
      </x:c>
      <x:c r="F53" s="117" t="str">
        <x:v>HC = 12 + members*2.0 + bathrooms*0.2</x:v>
      </x:c>
      <x:c r="G53" s="117"/>
      <x:c r="H53" s="117"/>
      <x:c r="I53" s="117"/>
      <x:c r="J53" s="117"/>
      <x:c r="K53" s="117"/>
      <x:c r="L53" s="117"/>
      <x:c r="M53" s="117"/>
      <x:c r="N53" s="117"/>
      <x:c r="O53" s="117"/>
      <x:c r="P53" s="117"/>
      <x:c r="Q53" s="117"/>
      <x:c r="R53" s="117"/>
      <x:c r="S53" s="117"/>
      <x:c r="T53" s="117"/>
      <x:c r="U53" s="117"/>
    </x:row>
    <x:row r="54">
      <x:c r="A54" s="117" t="str">
        <x:v>Data / AI / Science</x:v>
      </x:c>
      <x:c r="B54" s="127" t="n">
        <x:v>250</x:v>
      </x:c>
      <x:c r="C54" s="123" t="n">
        <x:v>0.4</x:v>
      </x:c>
      <x:c r="D54" s="123" t="n">
        <x:v>0</x:v>
      </x:c>
      <x:c r="E54" s="123" t="n">
        <x:v>0.4</x:v>
      </x:c>
      <x:c r="F54" s="117" t="str">
        <x:v>Client scaling applies to financial + biotech; plus public-sector load</x:v>
      </x:c>
      <x:c r="G54" s="117"/>
      <x:c r="H54" s="117"/>
      <x:c r="I54" s="117"/>
      <x:c r="J54" s="117"/>
      <x:c r="K54" s="117"/>
      <x:c r="L54" s="117"/>
      <x:c r="M54" s="117"/>
      <x:c r="N54" s="117"/>
      <x:c r="O54" s="117"/>
      <x:c r="P54" s="117"/>
      <x:c r="Q54" s="117"/>
      <x:c r="R54" s="117"/>
      <x:c r="S54" s="117"/>
      <x:c r="T54" s="117"/>
      <x:c r="U54" s="117"/>
    </x:row>
    <x:row r="55">
      <x:c r="A55" s="117" t="str">
        <x:v>Enterprise / Data Sales</x:v>
      </x:c>
      <x:c r="B55" s="127" t="n">
        <x:v>210</x:v>
      </x:c>
      <x:c r="C55" s="123" t="n">
        <x:v>0</x:v>
      </x:c>
      <x:c r="D55" s="123" t="n">
        <x:v>0</x:v>
      </x:c>
      <x:c r="E55" s="123" t="n">
        <x:v>0.5</x:v>
      </x:c>
      <x:c r="F55" s="117" t="str">
        <x:v>Client scaling applies to financial + biotech</x:v>
      </x:c>
      <x:c r="G55" s="117"/>
      <x:c r="H55" s="117"/>
      <x:c r="I55" s="117"/>
      <x:c r="J55" s="117"/>
      <x:c r="K55" s="117"/>
      <x:c r="L55" s="117"/>
      <x:c r="M55" s="117"/>
      <x:c r="N55" s="117"/>
      <x:c r="O55" s="117"/>
      <x:c r="P55" s="117"/>
      <x:c r="Q55" s="117"/>
      <x:c r="R55" s="117"/>
      <x:c r="S55" s="117"/>
      <x:c r="T55" s="117"/>
      <x:c r="U55" s="117"/>
    </x:row>
    <x:row r="56">
      <x:c r="A56" s="117" t="str">
        <x:v>Merchant Partnerships / Field Ops</x:v>
      </x:c>
      <x:c r="B56" s="127" t="n">
        <x:v>140</x:v>
      </x:c>
      <x:c r="C56" s="123" t="n">
        <x:v>0</x:v>
      </x:c>
      <x:c r="D56" s="123" t="n">
        <x:v>0.6</x:v>
      </x:c>
      <x:c r="E56" s="123" t="n">
        <x:v>0</x:v>
      </x:c>
      <x:c r="F56" s="117" t="str">
        <x:v>Coverage / merchant density function</x:v>
      </x:c>
      <x:c r="G56" s="117"/>
      <x:c r="H56" s="117"/>
      <x:c r="I56" s="117"/>
      <x:c r="J56" s="117"/>
      <x:c r="K56" s="117"/>
      <x:c r="L56" s="117"/>
      <x:c r="M56" s="117"/>
      <x:c r="N56" s="117"/>
      <x:c r="O56" s="117"/>
      <x:c r="P56" s="117"/>
      <x:c r="Q56" s="117"/>
      <x:c r="R56" s="117"/>
      <x:c r="S56" s="117"/>
      <x:c r="T56" s="117"/>
      <x:c r="U56" s="117"/>
    </x:row>
    <x:row r="57">
      <x:c r="A57" s="117" t="str">
        <x:v>Public Sector / Regulatory</x:v>
      </x:c>
      <x:c r="B57" s="127" t="n">
        <x:v>190</x:v>
      </x:c>
      <x:c r="C57" s="123" t="n">
        <x:v>0</x:v>
      </x:c>
      <x:c r="D57" s="123" t="n">
        <x:v>0.05</x:v>
      </x:c>
      <x:c r="E57" s="123" t="n">
        <x:v>0</x:v>
      </x:c>
      <x:c r="F57" s="117" t="str">
        <x:v>Government client + sensor oversight</x:v>
      </x:c>
      <x:c r="G57" s="117"/>
      <x:c r="H57" s="117"/>
      <x:c r="I57" s="117"/>
      <x:c r="J57" s="117"/>
      <x:c r="K57" s="117"/>
      <x:c r="L57" s="117"/>
      <x:c r="M57" s="117"/>
      <x:c r="N57" s="117"/>
      <x:c r="O57" s="117"/>
      <x:c r="P57" s="117"/>
      <x:c r="Q57" s="117"/>
      <x:c r="R57" s="117"/>
      <x:c r="S57" s="117"/>
      <x:c r="T57" s="117"/>
      <x:c r="U57" s="117"/>
    </x:row>
    <x:row r="58">
      <x:c r="A58" s="117" t="str">
        <x:v>Customer Support / Trust &amp; Safety</x:v>
      </x:c>
      <x:c r="B58" s="127" t="n">
        <x:v>110</x:v>
      </x:c>
      <x:c r="C58" s="123" t="n">
        <x:v>1.5</x:v>
      </x:c>
      <x:c r="D58" s="123" t="n">
        <x:v>0.1</x:v>
      </x:c>
      <x:c r="E58" s="123" t="n">
        <x:v>0</x:v>
      </x:c>
      <x:c r="F58" s="117" t="str">
        <x:v>Member + network density function</x:v>
      </x:c>
      <x:c r="G58" s="117"/>
      <x:c r="H58" s="117"/>
      <x:c r="I58" s="117"/>
      <x:c r="J58" s="117"/>
      <x:c r="K58" s="117"/>
      <x:c r="L58" s="117"/>
      <x:c r="M58" s="117"/>
      <x:c r="N58" s="117"/>
      <x:c r="O58" s="117"/>
      <x:c r="P58" s="117"/>
      <x:c r="Q58" s="117"/>
      <x:c r="R58" s="117"/>
      <x:c r="S58" s="117"/>
      <x:c r="T58" s="117"/>
      <x:c r="U58" s="117"/>
    </x:row>
    <x:row r="59">
      <x:c r="A59" s="117" t="str">
        <x:v>G&amp;A</x:v>
      </x:c>
      <x:c r="B59" s="127" t="n">
        <x:v>185</x:v>
      </x:c>
      <x:c r="C59" s="123" t="n">
        <x:v>0</x:v>
      </x:c>
      <x:c r="D59" s="123" t="n">
        <x:v>0</x:v>
      </x:c>
      <x:c r="E59" s="123" t="n">
        <x:v>0</x:v>
      </x:c>
      <x:c r="F59" s="117" t="str">
        <x:v>5% of non-G&amp;A headcount + minimum base</x:v>
      </x:c>
      <x:c r="G59" s="117"/>
      <x:c r="H59" s="117"/>
      <x:c r="I59" s="117"/>
      <x:c r="J59" s="117"/>
      <x:c r="K59" s="117"/>
      <x:c r="L59" s="117"/>
      <x:c r="M59" s="117"/>
      <x:c r="N59" s="117"/>
      <x:c r="O59" s="117"/>
      <x:c r="P59" s="117"/>
      <x:c r="Q59" s="117"/>
      <x:c r="R59" s="117"/>
      <x:c r="S59" s="117"/>
      <x:c r="T59" s="117"/>
      <x:c r="U59" s="117"/>
    </x:row>
    <x:row r="60">
      <x:c r="A60" s="117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  <x:c r="L60" s="117"/>
      <x:c r="M60" s="117"/>
      <x:c r="N60" s="117"/>
      <x:c r="O60" s="117"/>
      <x:c r="P60" s="117"/>
      <x:c r="Q60" s="117"/>
      <x:c r="R60" s="117"/>
      <x:c r="S60" s="117"/>
      <x:c r="T60" s="117"/>
      <x:c r="U60" s="117"/>
    </x:row>
    <x:row r="61">
      <x:c r="A61" s="55" t="str">
        <x:v>Critical model condition: LibertyPass does not sell personally identifiable health information. Financial-data products use aggregated/de-identified traffic and utilization signals. Biotech / public-health products assume separate explicit opt-in consent, sensor-enabled locations, de-identification, privacy/security controls, and applicable regulatory approvals.</x:v>
      </x:c>
      <x:c r="B61" s="55"/>
      <x:c r="C61" s="55"/>
      <x:c r="D61" s="55"/>
      <x:c r="E61" s="55"/>
      <x:c r="F61" s="55"/>
      <x:c r="G61" s="55"/>
      <x:c r="H61" s="55"/>
      <x:c r="I61" s="55"/>
      <x:c r="J61" s="55"/>
      <x:c r="K61" s="55"/>
      <x:c r="L61" s="55"/>
      <x:c r="M61" s="55"/>
      <x:c r="N61" s="55"/>
      <x:c r="O61" s="55"/>
      <x:c r="P61" s="55"/>
      <x:c r="Q61" s="55"/>
      <x:c r="R61" s="55"/>
      <x:c r="S61" s="55"/>
      <x:c r="T61" s="55"/>
      <x:c r="U61" s="55"/>
    </x:row>
    <x:row r="62">
      <x:c r="A62" s="55"/>
      <x:c r="B62" s="55"/>
      <x:c r="C62" s="55"/>
      <x:c r="D62" s="55"/>
      <x:c r="E62" s="55"/>
      <x:c r="F62" s="55"/>
      <x:c r="G62" s="55"/>
      <x:c r="H62" s="55"/>
      <x:c r="I62" s="55"/>
      <x:c r="J62" s="55"/>
      <x:c r="K62" s="55"/>
      <x:c r="L62" s="55"/>
      <x:c r="M62" s="55"/>
      <x:c r="N62" s="55"/>
      <x:c r="O62" s="55"/>
      <x:c r="P62" s="55"/>
      <x:c r="Q62" s="55"/>
      <x:c r="R62" s="55"/>
      <x:c r="S62" s="55"/>
      <x:c r="T62" s="55"/>
      <x:c r="U62" s="55"/>
    </x:row>
    <x:row r="63">
      <x:c r="A63" s="55"/>
      <x:c r="B63" s="55"/>
      <x:c r="C63" s="55"/>
      <x:c r="D63" s="55"/>
      <x:c r="E63" s="55"/>
      <x:c r="F63" s="55"/>
      <x:c r="G63" s="55"/>
      <x:c r="H63" s="55"/>
      <x:c r="I63" s="55"/>
      <x:c r="J63" s="55"/>
      <x:c r="K63" s="55"/>
      <x:c r="L63" s="55"/>
      <x:c r="M63" s="55"/>
      <x:c r="N63" s="55"/>
      <x:c r="O63" s="55"/>
      <x:c r="P63" s="55"/>
      <x:c r="Q63" s="55"/>
      <x:c r="R63" s="55"/>
      <x:c r="S63" s="55"/>
      <x:c r="T63" s="55"/>
      <x:c r="U63" s="55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  <x:c r="O64" s="117"/>
      <x:c r="P64" s="117"/>
      <x:c r="Q64" s="117"/>
      <x:c r="R64" s="117"/>
      <x:c r="S64" s="117"/>
      <x:c r="T64" s="117"/>
      <x:c r="U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  <x:c r="O65" s="117"/>
      <x:c r="P65" s="117"/>
      <x:c r="Q65" s="117"/>
      <x:c r="R65" s="117"/>
      <x:c r="S65" s="117"/>
      <x:c r="T65" s="117"/>
      <x:c r="U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  <x:c r="R67" s="117"/>
      <x:c r="S67" s="117"/>
      <x:c r="T67" s="117"/>
      <x:c r="U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  <x:c r="R68" s="117"/>
      <x:c r="S68" s="117"/>
      <x:c r="T68" s="117"/>
      <x:c r="U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  <x:c r="O69" s="117"/>
      <x:c r="P69" s="117"/>
      <x:c r="Q69" s="117"/>
      <x:c r="R69" s="117"/>
      <x:c r="S69" s="117"/>
      <x:c r="T69" s="117"/>
      <x:c r="U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</x:row>
  </x:sheetData>
  <x:mergeCells>
    <x:mergeCell ref="A1:U1"/>
    <x:mergeCell ref="A2:U2"/>
    <x:mergeCell ref="A4:D4"/>
    <x:mergeCell ref="A25:D25"/>
    <x:mergeCell ref="A37:U37"/>
    <x:mergeCell ref="A51:F51"/>
    <x:mergeCell ref="A61:U6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6" customHeight="1">
      <x:c r="A1" s="162" t="str">
        <x:v>LibertyPass — Operating Build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</x:row>
    <x:row r="3">
      <x:c r="A3" s="164" t="str">
        <x:v>Metric</x:v>
      </x:c>
      <x:c r="B3" s="165" t="str">
        <x:v>2027E</x:v>
      </x:c>
      <x:c r="C3" s="165" t="str">
        <x:v>2028E</x:v>
      </x:c>
      <x:c r="D3" s="165" t="str">
        <x:v>2029E</x:v>
      </x:c>
      <x:c r="E3" s="165" t="str">
        <x:v>2030E</x:v>
      </x:c>
      <x:c r="F3" s="165" t="str">
        <x:v>2031E</x:v>
      </x:c>
      <x:c r="G3" s="165" t="str">
        <x:v>2032E</x:v>
      </x:c>
      <x:c r="H3" s="165" t="str">
        <x:v>2033E</x:v>
      </x:c>
      <x:c r="I3" s="165" t="str">
        <x:v>2034E</x:v>
      </x:c>
      <x:c r="J3" s="165" t="str">
        <x:v>2035E</x:v>
      </x:c>
      <x:c r="K3" s="165" t="str">
        <x:v>2036E</x:v>
      </x:c>
      <x:c r="L3" s="165" t="str">
        <x:v>2037E</x:v>
      </x:c>
      <x:c r="M3" s="165" t="str">
        <x:v>2038E</x:v>
      </x:c>
      <x:c r="N3" s="165" t="str">
        <x:v>2039E</x:v>
      </x:c>
      <x:c r="O3" s="165" t="str">
        <x:v>2040E</x:v>
      </x:c>
      <x:c r="P3" s="165" t="str">
        <x:v>2041E</x:v>
      </x:c>
      <x:c r="Q3" s="165" t="str">
        <x:v>2042E</x:v>
      </x:c>
      <x:c r="R3" s="165" t="str">
        <x:v>2043E</x:v>
      </x:c>
      <x:c r="S3" s="165" t="str">
        <x:v>2044E</x:v>
      </x:c>
      <x:c r="T3" s="165" t="str">
        <x:v>2045E</x:v>
      </x:c>
      <x:c r="U3" s="165" t="str">
        <x:v>2046E</x:v>
      </x:c>
    </x:row>
    <x:row r="4">
      <x:c r="A4" s="163" t="str">
        <x:v>Members (mm)</x:v>
      </x:c>
      <x:c r="B4" s="166" t="n">
        <x:f>'Assumptions'!B26</x:f>
        <x:v>0.2</x:v>
      </x:c>
      <x:c r="C4" s="166" t="n">
        <x:f>B4*(1+'Assumptions'!C39)</x:f>
        <x:v>0.7000000000000001</x:v>
      </x:c>
      <x:c r="D4" s="166" t="n">
        <x:f>C4*(1+'Assumptions'!D39)</x:f>
        <x:v>2.1</x:v>
      </x:c>
      <x:c r="E4" s="166" t="n">
        <x:f>D4*(1+'Assumptions'!E39)</x:f>
        <x:v>5.25</x:v>
      </x:c>
      <x:c r="F4" s="166" t="n">
        <x:f>E4*(1+'Assumptions'!F39)</x:f>
        <x:v>10.5</x:v>
      </x:c>
      <x:c r="G4" s="166" t="n">
        <x:f>F4*(1+'Assumptions'!G39)</x:f>
        <x:v>18.375</x:v>
      </x:c>
      <x:c r="H4" s="166" t="n">
        <x:f>G4*(1+'Assumptions'!H39)</x:f>
        <x:v>29.400000000000002</x:v>
      </x:c>
      <x:c r="I4" s="166" t="n">
        <x:f>H4*(1+'Assumptions'!I39)</x:f>
        <x:v>44.1</x:v>
      </x:c>
      <x:c r="J4" s="166" t="n">
        <x:f>I4*(1+'Assumptions'!J39)</x:f>
        <x:v>61.739999999999995</x:v>
      </x:c>
      <x:c r="K4" s="166" t="n">
        <x:f>J4*(1+'Assumptions'!K39)</x:f>
        <x:v>83.349</x:v>
      </x:c>
      <x:c r="L4" s="166" t="n">
        <x:f>K4*(1+'Assumptions'!L39)</x:f>
        <x:v>108.3537</x:v>
      </x:c>
      <x:c r="M4" s="166" t="n">
        <x:f>L4*(1+'Assumptions'!M39)</x:f>
        <x:v>135.442125</x:v>
      </x:c>
      <x:c r="N4" s="166" t="n">
        <x:f>M4*(1+'Assumptions'!N39)</x:f>
        <x:v>165.2393925</x:v>
      </x:c>
      <x:c r="O4" s="166" t="n">
        <x:f>N4*(1+'Assumptions'!O39)</x:f>
        <x:v>198.287271</x:v>
      </x:c>
      <x:c r="P4" s="166" t="n">
        <x:f>O4*(1+'Assumptions'!P39)</x:f>
        <x:v>233.97897978</x:v>
      </x:c>
      <x:c r="Q4" s="166" t="n">
        <x:f>P4*(1+'Assumptions'!Q39)</x:f>
        <x:v>271.4156165448</x:v>
      </x:c>
      <x:c r="R4" s="166" t="n">
        <x:f>Q4*(1+'Assumptions'!R39)</x:f>
        <x:v>309.41380286107204</x:v>
      </x:c>
      <x:c r="S4" s="166" t="n">
        <x:f>R4*(1+'Assumptions'!S39)</x:f>
        <x:v>346.54345920440073</x:v>
      </x:c>
      <x:c r="T4" s="166" t="n">
        <x:f>S4*(1+'Assumptions'!T39)</x:f>
        <x:v>381.19780512484084</x:v>
      </x:c>
      <x:c r="U4" s="166" t="n">
        <x:f>T4*(1+'Assumptions'!U39)</x:f>
        <x:v>411.6936295348281</x:v>
      </x:c>
    </x:row>
    <x:row r="5">
      <x:c r="A5" s="210" t="str">
        <x:v>YoY growth</x:v>
      </x:c>
      <x:c r="B5" s="211"/>
      <x:c r="C5" s="211" t="n">
        <x:f>'Assumptions'!C39</x:f>
        <x:v>2.5</x:v>
      </x:c>
      <x:c r="D5" s="211" t="n">
        <x:f>'Assumptions'!D39</x:f>
        <x:v>2</x:v>
      </x:c>
      <x:c r="E5" s="211" t="n">
        <x:f>'Assumptions'!E39</x:f>
        <x:v>1.5</x:v>
      </x:c>
      <x:c r="F5" s="211" t="n">
        <x:f>'Assumptions'!F39</x:f>
        <x:v>1</x:v>
      </x:c>
      <x:c r="G5" s="211" t="n">
        <x:f>'Assumptions'!G39</x:f>
        <x:v>0.75</x:v>
      </x:c>
      <x:c r="H5" s="211" t="n">
        <x:f>'Assumptions'!H39</x:f>
        <x:v>0.6</x:v>
      </x:c>
      <x:c r="I5" s="211" t="n">
        <x:f>'Assumptions'!I39</x:f>
        <x:v>0.5</x:v>
      </x:c>
      <x:c r="J5" s="211" t="n">
        <x:f>'Assumptions'!J39</x:f>
        <x:v>0.4</x:v>
      </x:c>
      <x:c r="K5" s="211" t="n">
        <x:f>'Assumptions'!K39</x:f>
        <x:v>0.35</x:v>
      </x:c>
      <x:c r="L5" s="211" t="n">
        <x:f>'Assumptions'!L39</x:f>
        <x:v>0.3</x:v>
      </x:c>
      <x:c r="M5" s="211" t="n">
        <x:f>'Assumptions'!M39</x:f>
        <x:v>0.25</x:v>
      </x:c>
      <x:c r="N5" s="211" t="n">
        <x:f>'Assumptions'!N39</x:f>
        <x:v>0.22</x:v>
      </x:c>
      <x:c r="O5" s="211" t="n">
        <x:f>'Assumptions'!O39</x:f>
        <x:v>0.2</x:v>
      </x:c>
      <x:c r="P5" s="211" t="n">
        <x:f>'Assumptions'!P39</x:f>
        <x:v>0.18</x:v>
      </x:c>
      <x:c r="Q5" s="211" t="n">
        <x:f>'Assumptions'!Q39</x:f>
        <x:v>0.16</x:v>
      </x:c>
      <x:c r="R5" s="211" t="n">
        <x:f>'Assumptions'!R39</x:f>
        <x:v>0.14</x:v>
      </x:c>
      <x:c r="S5" s="211" t="n">
        <x:f>'Assumptions'!S39</x:f>
        <x:v>0.12</x:v>
      </x:c>
      <x:c r="T5" s="211" t="n">
        <x:f>'Assumptions'!T39</x:f>
        <x:v>0.1</x:v>
      </x:c>
      <x:c r="U5" s="211" t="n">
        <x:f>'Assumptions'!U39</x:f>
        <x:v>0.08</x:v>
      </x:c>
    </x:row>
    <x:row r="6">
      <x:c r="A6" s="163" t="str">
        <x:v>Partner bathrooms (000s)</x:v>
      </x:c>
      <x:c r="B6" s="166" t="n">
        <x:f>'Assumptions'!B27</x:f>
        <x:v>1.5</x:v>
      </x:c>
      <x:c r="C6" s="166" t="n">
        <x:f>B6*(1+'Assumptions'!C40)</x:f>
        <x:v>4.5</x:v>
      </x:c>
      <x:c r="D6" s="166" t="n">
        <x:f>C6*(1+'Assumptions'!D40)</x:f>
        <x:v>11.25</x:v>
      </x:c>
      <x:c r="E6" s="166" t="n">
        <x:f>D6*(1+'Assumptions'!E40)</x:f>
        <x:v>22.5</x:v>
      </x:c>
      <x:c r="F6" s="166" t="n">
        <x:f>E6*(1+'Assumptions'!F40)</x:f>
        <x:v>40.5</x:v>
      </x:c>
      <x:c r="G6" s="166" t="n">
        <x:f>F6*(1+'Assumptions'!G40)</x:f>
        <x:v>64.8</x:v>
      </x:c>
      <x:c r="H6" s="166" t="n">
        <x:f>G6*(1+'Assumptions'!H40)</x:f>
        <x:v>93.96</x:v>
      </x:c>
      <x:c r="I6" s="166" t="n">
        <x:f>H6*(1+'Assumptions'!I40)</x:f>
        <x:v>131.54399999999998</x:v>
      </x:c>
      <x:c r="J6" s="166" t="n">
        <x:f>I6*(1+'Assumptions'!J40)</x:f>
        <x:v>177.5844</x:v>
      </x:c>
      <x:c r="K6" s="166" t="n">
        <x:f>J6*(1+'Assumptions'!K40)</x:f>
        <x:v>230.85971999999998</x:v>
      </x:c>
      <x:c r="L6" s="166" t="n">
        <x:f>K6*(1+'Assumptions'!L40)</x:f>
        <x:v>288.57464999999996</x:v>
      </x:c>
      <x:c r="M6" s="166" t="n">
        <x:f>L6*(1+'Assumptions'!M40)</x:f>
        <x:v>352.06107299999996</x:v>
      </x:c>
      <x:c r="N6" s="166" t="n">
        <x:f>M6*(1+'Assumptions'!N40)</x:f>
        <x:v>422.47328759999994</x:v>
      </x:c>
      <x:c r="O6" s="166" t="n">
        <x:f>N6*(1+'Assumptions'!O40)</x:f>
        <x:v>498.5184793679999</x:v>
      </x:c>
      <x:c r="P6" s="166" t="n">
        <x:f>O6*(1+'Assumptions'!P40)</x:f>
        <x:v>578.2814360668798</x:v>
      </x:c>
      <x:c r="Q6" s="166" t="n">
        <x:f>P6*(1+'Assumptions'!Q40)</x:f>
        <x:v>659.240837116243</x:v>
      </x:c>
      <x:c r="R6" s="166" t="n">
        <x:f>Q6*(1+'Assumptions'!R40)</x:f>
        <x:v>738.3497375701922</x:v>
      </x:c>
      <x:c r="S6" s="166" t="n">
        <x:f>R6*(1+'Assumptions'!S40)</x:f>
        <x:v>812.1847113272115</x:v>
      </x:c>
      <x:c r="T6" s="166" t="n">
        <x:f>S6*(1+'Assumptions'!T40)</x:f>
        <x:v>877.1594882333885</x:v>
      </x:c>
      <x:c r="U6" s="166" t="n">
        <x:f>T6*(1+'Assumptions'!U40)</x:f>
        <x:v>938.5606524097258</x:v>
      </x:c>
    </x:row>
    <x:row r="7">
      <x:c r="A7" s="210" t="str">
        <x:v>YoY growth</x:v>
      </x:c>
      <x:c r="B7" s="211"/>
      <x:c r="C7" s="211" t="n">
        <x:f>'Assumptions'!C40</x:f>
        <x:v>2</x:v>
      </x:c>
      <x:c r="D7" s="211" t="n">
        <x:f>'Assumptions'!D40</x:f>
        <x:v>1.5</x:v>
      </x:c>
      <x:c r="E7" s="211" t="n">
        <x:f>'Assumptions'!E40</x:f>
        <x:v>1</x:v>
      </x:c>
      <x:c r="F7" s="211" t="n">
        <x:f>'Assumptions'!F40</x:f>
        <x:v>0.8</x:v>
      </x:c>
      <x:c r="G7" s="211" t="n">
        <x:f>'Assumptions'!G40</x:f>
        <x:v>0.6</x:v>
      </x:c>
      <x:c r="H7" s="211" t="n">
        <x:f>'Assumptions'!H40</x:f>
        <x:v>0.45</x:v>
      </x:c>
      <x:c r="I7" s="211" t="n">
        <x:f>'Assumptions'!I40</x:f>
        <x:v>0.4</x:v>
      </x:c>
      <x:c r="J7" s="211" t="n">
        <x:f>'Assumptions'!J40</x:f>
        <x:v>0.35</x:v>
      </x:c>
      <x:c r="K7" s="211" t="n">
        <x:f>'Assumptions'!K40</x:f>
        <x:v>0.3</x:v>
      </x:c>
      <x:c r="L7" s="211" t="n">
        <x:f>'Assumptions'!L40</x:f>
        <x:v>0.25</x:v>
      </x:c>
      <x:c r="M7" s="211" t="n">
        <x:f>'Assumptions'!M40</x:f>
        <x:v>0.22</x:v>
      </x:c>
      <x:c r="N7" s="211" t="n">
        <x:f>'Assumptions'!N40</x:f>
        <x:v>0.2</x:v>
      </x:c>
      <x:c r="O7" s="211" t="n">
        <x:f>'Assumptions'!O40</x:f>
        <x:v>0.18</x:v>
      </x:c>
      <x:c r="P7" s="211" t="n">
        <x:f>'Assumptions'!P40</x:f>
        <x:v>0.16</x:v>
      </x:c>
      <x:c r="Q7" s="211" t="n">
        <x:f>'Assumptions'!Q40</x:f>
        <x:v>0.14</x:v>
      </x:c>
      <x:c r="R7" s="211" t="n">
        <x:f>'Assumptions'!R40</x:f>
        <x:v>0.12</x:v>
      </x:c>
      <x:c r="S7" s="211" t="n">
        <x:f>'Assumptions'!S40</x:f>
        <x:v>0.1</x:v>
      </x:c>
      <x:c r="T7" s="211" t="n">
        <x:f>'Assumptions'!T40</x:f>
        <x:v>0.08</x:v>
      </x:c>
      <x:c r="U7" s="211" t="n">
        <x:f>'Assumptions'!U40</x:f>
        <x:v>0.07</x:v>
      </x:c>
    </x:row>
    <x:row r="8">
      <x:c r="A8" s="163" t="str">
        <x:v>Visits / member / year</x:v>
      </x:c>
      <x:c r="B8" s="166" t="n">
        <x:f>'Assumptions'!B41</x:f>
        <x:v>4</x:v>
      </x:c>
      <x:c r="C8" s="166" t="n">
        <x:f>'Assumptions'!C41</x:f>
        <x:v>5</x:v>
      </x:c>
      <x:c r="D8" s="166" t="n">
        <x:f>'Assumptions'!D41</x:f>
        <x:v>6</x:v>
      </x:c>
      <x:c r="E8" s="166" t="n">
        <x:f>'Assumptions'!E41</x:f>
        <x:v>7</x:v>
      </x:c>
      <x:c r="F8" s="166" t="n">
        <x:f>'Assumptions'!F41</x:f>
        <x:v>8</x:v>
      </x:c>
      <x:c r="G8" s="166" t="n">
        <x:f>'Assumptions'!G41</x:f>
        <x:v>9</x:v>
      </x:c>
      <x:c r="H8" s="166" t="n">
        <x:f>'Assumptions'!H41</x:f>
        <x:v>10</x:v>
      </x:c>
      <x:c r="I8" s="166" t="n">
        <x:f>'Assumptions'!I41</x:f>
        <x:v>11</x:v>
      </x:c>
      <x:c r="J8" s="166" t="n">
        <x:f>'Assumptions'!J41</x:f>
        <x:v>12</x:v>
      </x:c>
      <x:c r="K8" s="166" t="n">
        <x:f>'Assumptions'!K41</x:f>
        <x:v>13</x:v>
      </x:c>
      <x:c r="L8" s="166" t="n">
        <x:f>'Assumptions'!L41</x:f>
        <x:v>14</x:v>
      </x:c>
      <x:c r="M8" s="166" t="n">
        <x:f>'Assumptions'!M41</x:f>
        <x:v>15</x:v>
      </x:c>
      <x:c r="N8" s="166" t="n">
        <x:f>'Assumptions'!N41</x:f>
        <x:v>16</x:v>
      </x:c>
      <x:c r="O8" s="166" t="n">
        <x:f>'Assumptions'!O41</x:f>
        <x:v>17</x:v>
      </x:c>
      <x:c r="P8" s="166" t="n">
        <x:f>'Assumptions'!P41</x:f>
        <x:v>18</x:v>
      </x:c>
      <x:c r="Q8" s="166" t="n">
        <x:f>'Assumptions'!Q41</x:f>
        <x:v>19</x:v>
      </x:c>
      <x:c r="R8" s="166" t="n">
        <x:f>'Assumptions'!R41</x:f>
        <x:v>20</x:v>
      </x:c>
      <x:c r="S8" s="166" t="n">
        <x:f>'Assumptions'!S41</x:f>
        <x:v>21</x:v>
      </x:c>
      <x:c r="T8" s="166" t="n">
        <x:f>'Assumptions'!T41</x:f>
        <x:v>22</x:v>
      </x:c>
      <x:c r="U8" s="166" t="n">
        <x:f>'Assumptions'!U41</x:f>
        <x:v>22</x:v>
      </x:c>
    </x:row>
    <x:row r="9">
      <x:c r="A9" s="163" t="str">
        <x:v>Total LibertyPass visits (mm)</x:v>
      </x:c>
      <x:c r="B9" s="166" t="n">
        <x:f>B4*B8</x:f>
        <x:v>0.8</x:v>
      </x:c>
      <x:c r="C9" s="166" t="n">
        <x:f>C4*C8</x:f>
        <x:v>3.5000000000000004</x:v>
      </x:c>
      <x:c r="D9" s="166" t="n">
        <x:f>D4*D8</x:f>
        <x:v>12.600000000000001</x:v>
      </x:c>
      <x:c r="E9" s="166" t="n">
        <x:f>E4*E8</x:f>
        <x:v>36.75</x:v>
      </x:c>
      <x:c r="F9" s="166" t="n">
        <x:f>F4*F8</x:f>
        <x:v>84</x:v>
      </x:c>
      <x:c r="G9" s="166" t="n">
        <x:f>G4*G8</x:f>
        <x:v>165.375</x:v>
      </x:c>
      <x:c r="H9" s="166" t="n">
        <x:f>H4*H8</x:f>
        <x:v>294</x:v>
      </x:c>
      <x:c r="I9" s="166" t="n">
        <x:f>I4*I8</x:f>
        <x:v>485.1</x:v>
      </x:c>
      <x:c r="J9" s="166" t="n">
        <x:f>J4*J8</x:f>
        <x:v>740.8799999999999</x:v>
      </x:c>
      <x:c r="K9" s="166" t="n">
        <x:f>K4*K8</x:f>
        <x:v>1083.537</x:v>
      </x:c>
      <x:c r="L9" s="166" t="n">
        <x:f>L4*L8</x:f>
        <x:v>1516.9518</x:v>
      </x:c>
      <x:c r="M9" s="166" t="n">
        <x:f>M4*M8</x:f>
        <x:v>2031.631875</x:v>
      </x:c>
      <x:c r="N9" s="166" t="n">
        <x:f>N4*N8</x:f>
        <x:v>2643.83028</x:v>
      </x:c>
      <x:c r="O9" s="166" t="n">
        <x:f>O4*O8</x:f>
        <x:v>3370.883607</x:v>
      </x:c>
      <x:c r="P9" s="166" t="n">
        <x:f>P4*P8</x:f>
        <x:v>4211.62163604</x:v>
      </x:c>
      <x:c r="Q9" s="166" t="n">
        <x:f>Q4*Q8</x:f>
        <x:v>5156.8967143512</x:v>
      </x:c>
      <x:c r="R9" s="166" t="n">
        <x:f>R4*R8</x:f>
        <x:v>6188.276057221441</x:v>
      </x:c>
      <x:c r="S9" s="166" t="n">
        <x:f>S4*S8</x:f>
        <x:v>7277.412643292415</x:v>
      </x:c>
      <x:c r="T9" s="166" t="n">
        <x:f>T4*T8</x:f>
        <x:v>8386.351712746498</x:v>
      </x:c>
      <x:c r="U9" s="166" t="n">
        <x:f>U4*U8</x:f>
        <x:v>9057.259849766218</x:v>
      </x:c>
    </x:row>
    <x:row r="10">
      <x:c r="A10" s="163" t="str">
        <x:v>Sensor-enabled bathrooms (000s)</x:v>
      </x:c>
      <x:c r="B10" s="166" t="n">
        <x:f>B6*'Assumptions'!B42</x:f>
        <x:v>0.03</x:v>
      </x:c>
      <x:c r="C10" s="166" t="n">
        <x:f>C6*'Assumptions'!C42</x:f>
        <x:v>0.135</x:v>
      </x:c>
      <x:c r="D10" s="166" t="n">
        <x:f>D6*'Assumptions'!D42</x:f>
        <x:v>0.5625</x:v>
      </x:c>
      <x:c r="E10" s="166" t="n">
        <x:f>E6*'Assumptions'!E42</x:f>
        <x:v>1.8</x:v>
      </x:c>
      <x:c r="F10" s="166" t="n">
        <x:f>F6*'Assumptions'!F42</x:f>
        <x:v>4.859999999999999</x:v>
      </x:c>
      <x:c r="G10" s="166" t="n">
        <x:f>G6*'Assumptions'!G42</x:f>
        <x:v>10.368</x:v>
      </x:c>
      <x:c r="H10" s="166" t="n">
        <x:f>H6*'Assumptions'!H42</x:f>
        <x:v>18.791999999999998</x:v>
      </x:c>
      <x:c r="I10" s="166" t="n">
        <x:f>I6*'Assumptions'!I42</x:f>
        <x:v>31.570559999999993</x:v>
      </x:c>
      <x:c r="J10" s="166" t="n">
        <x:f>J6*'Assumptions'!J42</x:f>
        <x:v>49.723632</x:v>
      </x:c>
      <x:c r="K10" s="166" t="n">
        <x:f>K6*'Assumptions'!K42</x:f>
        <x:v>73.8751104</x:v>
      </x:c>
      <x:c r="L10" s="166" t="n">
        <x:f>L6*'Assumptions'!L42</x:f>
        <x:v>103.88687399999998</x:v>
      </x:c>
      <x:c r="M10" s="166" t="n">
        <x:f>M6*'Assumptions'!M42</x:f>
        <x:v>140.8244292</x:v>
      </x:c>
      <x:c r="N10" s="166" t="n">
        <x:f>N6*'Assumptions'!N42</x:f>
        <x:v>181.66351366799998</x:v>
      </x:c>
      <x:c r="O10" s="166" t="n">
        <x:f>O6*'Assumptions'!O42</x:f>
        <x:v>229.31850050927994</x:v>
      </x:c>
      <x:c r="P10" s="166" t="n">
        <x:f>P6*'Assumptions'!P42</x:f>
        <x:v>283.3579036727711</x:v>
      </x:c>
      <x:c r="Q10" s="166" t="n">
        <x:f>Q6*'Assumptions'!Q42</x:f>
        <x:v>342.8052353004464</x:v>
      </x:c>
      <x:c r="R10" s="166" t="n">
        <x:f>R6*'Assumptions'!R42</x:f>
        <x:v>406.09235566360576</x:v>
      </x:c>
      <x:c r="S10" s="166" t="n">
        <x:f>S6*'Assumptions'!S42</x:f>
        <x:v>471.06713256978264</x:v>
      </x:c>
      <x:c r="T10" s="166" t="n">
        <x:f>T6*'Assumptions'!T42</x:f>
        <x:v>526.2956929400331</x:v>
      </x:c>
      <x:c r="U10" s="166" t="n">
        <x:f>U6*'Assumptions'!U42</x:f>
        <x:v>581.90760449403</x:v>
      </x:c>
    </x:row>
    <x:row r="11">
      <x:c r="A11" s="210" t="str">
        <x:v>Sensor penetration</x:v>
      </x:c>
      <x:c r="B11" s="211" t="n">
        <x:f>'Assumptions'!B42</x:f>
        <x:v>0.02</x:v>
      </x:c>
      <x:c r="C11" s="211" t="n">
        <x:f>'Assumptions'!C42</x:f>
        <x:v>0.03</x:v>
      </x:c>
      <x:c r="D11" s="211" t="n">
        <x:f>'Assumptions'!D42</x:f>
        <x:v>0.05</x:v>
      </x:c>
      <x:c r="E11" s="211" t="n">
        <x:f>'Assumptions'!E42</x:f>
        <x:v>0.08</x:v>
      </x:c>
      <x:c r="F11" s="211" t="n">
        <x:f>'Assumptions'!F42</x:f>
        <x:v>0.12</x:v>
      </x:c>
      <x:c r="G11" s="211" t="n">
        <x:f>'Assumptions'!G42</x:f>
        <x:v>0.16</x:v>
      </x:c>
      <x:c r="H11" s="211" t="n">
        <x:f>'Assumptions'!H42</x:f>
        <x:v>0.2</x:v>
      </x:c>
      <x:c r="I11" s="211" t="n">
        <x:f>'Assumptions'!I42</x:f>
        <x:v>0.24</x:v>
      </x:c>
      <x:c r="J11" s="211" t="n">
        <x:f>'Assumptions'!J42</x:f>
        <x:v>0.28</x:v>
      </x:c>
      <x:c r="K11" s="211" t="n">
        <x:f>'Assumptions'!K42</x:f>
        <x:v>0.32</x:v>
      </x:c>
      <x:c r="L11" s="211" t="n">
        <x:f>'Assumptions'!L42</x:f>
        <x:v>0.36</x:v>
      </x:c>
      <x:c r="M11" s="211" t="n">
        <x:f>'Assumptions'!M42</x:f>
        <x:v>0.4</x:v>
      </x:c>
      <x:c r="N11" s="211" t="n">
        <x:f>'Assumptions'!N42</x:f>
        <x:v>0.43</x:v>
      </x:c>
      <x:c r="O11" s="211" t="n">
        <x:f>'Assumptions'!O42</x:f>
        <x:v>0.46</x:v>
      </x:c>
      <x:c r="P11" s="211" t="n">
        <x:f>'Assumptions'!P42</x:f>
        <x:v>0.49</x:v>
      </x:c>
      <x:c r="Q11" s="211" t="n">
        <x:f>'Assumptions'!Q42</x:f>
        <x:v>0.52</x:v>
      </x:c>
      <x:c r="R11" s="211" t="n">
        <x:f>'Assumptions'!R42</x:f>
        <x:v>0.55</x:v>
      </x:c>
      <x:c r="S11" s="211" t="n">
        <x:f>'Assumptions'!S42</x:f>
        <x:v>0.58</x:v>
      </x:c>
      <x:c r="T11" s="211" t="n">
        <x:f>'Assumptions'!T42</x:f>
        <x:v>0.6</x:v>
      </x:c>
      <x:c r="U11" s="211" t="n">
        <x:f>'Assumptions'!U42</x:f>
        <x:v>0.62</x:v>
      </x:c>
    </x:row>
    <x:row r="12">
      <x:c r="A12" s="163" t="str">
        <x:v>Sensor-enabled visits (mm)</x:v>
      </x:c>
      <x:c r="B12" s="166" t="n">
        <x:f>B9*B11</x:f>
        <x:v>0.016</x:v>
      </x:c>
      <x:c r="C12" s="166" t="n">
        <x:f>C9*C11</x:f>
        <x:v>0.10500000000000001</x:v>
      </x:c>
      <x:c r="D12" s="166" t="n">
        <x:f>D9*D11</x:f>
        <x:v>0.6300000000000001</x:v>
      </x:c>
      <x:c r="E12" s="166" t="n">
        <x:f>E9*E11</x:f>
        <x:v>2.94</x:v>
      </x:c>
      <x:c r="F12" s="166" t="n">
        <x:f>F9*F11</x:f>
        <x:v>10.08</x:v>
      </x:c>
      <x:c r="G12" s="166" t="n">
        <x:f>G9*G11</x:f>
        <x:v>26.46</x:v>
      </x:c>
      <x:c r="H12" s="166" t="n">
        <x:f>H9*H11</x:f>
        <x:v>58.800000000000004</x:v>
      </x:c>
      <x:c r="I12" s="166" t="n">
        <x:f>I9*I11</x:f>
        <x:v>116.424</x:v>
      </x:c>
      <x:c r="J12" s="166" t="n">
        <x:f>J9*J11</x:f>
        <x:v>207.44639999999998</x:v>
      </x:c>
      <x:c r="K12" s="166" t="n">
        <x:f>K9*K11</x:f>
        <x:v>346.73184000000003</x:v>
      </x:c>
      <x:c r="L12" s="166" t="n">
        <x:f>L9*L11</x:f>
        <x:v>546.102648</x:v>
      </x:c>
      <x:c r="M12" s="166" t="n">
        <x:f>M9*M11</x:f>
        <x:v>812.6527500000001</x:v>
      </x:c>
      <x:c r="N12" s="166" t="n">
        <x:f>N9*N11</x:f>
        <x:v>1136.8470204</x:v>
      </x:c>
      <x:c r="O12" s="166" t="n">
        <x:f>O9*O11</x:f>
        <x:v>1550.6064592200003</x:v>
      </x:c>
      <x:c r="P12" s="166" t="n">
        <x:f>P9*P11</x:f>
        <x:v>2063.6946016596003</x:v>
      </x:c>
      <x:c r="Q12" s="166" t="n">
        <x:f>Q9*Q11</x:f>
        <x:v>2681.586291462624</x:v>
      </x:c>
      <x:c r="R12" s="166" t="n">
        <x:f>R9*R11</x:f>
        <x:v>3403.551831471793</x:v>
      </x:c>
      <x:c r="S12" s="166" t="n">
        <x:f>S9*S11</x:f>
        <x:v>4220.899333109601</x:v>
      </x:c>
      <x:c r="T12" s="166" t="n">
        <x:f>T9*T11</x:f>
        <x:v>5031.811027647899</x:v>
      </x:c>
      <x:c r="U12" s="166" t="n">
        <x:f>U9*U11</x:f>
        <x:v>5615.501106855056</x:v>
      </x:c>
    </x:row>
    <x:row r="13">
      <x:c r="A13" s="163" t="str">
        <x:v>Opt-in health-data visits (mm)</x:v>
      </x:c>
      <x:c r="B13" s="166" t="n">
        <x:f>B12*'Assumptions'!B18</x:f>
        <x:v>0.0024</x:v>
      </x:c>
      <x:c r="C13" s="166" t="n">
        <x:f>C12*'Assumptions'!B18</x:f>
        <x:v>0.01575</x:v>
      </x:c>
      <x:c r="D13" s="166" t="n">
        <x:f>D12*'Assumptions'!B18</x:f>
        <x:v>0.09450000000000001</x:v>
      </x:c>
      <x:c r="E13" s="166" t="n">
        <x:f>E12*'Assumptions'!B18</x:f>
        <x:v>0.441</x:v>
      </x:c>
      <x:c r="F13" s="166" t="n">
        <x:f>F12*'Assumptions'!B18</x:f>
        <x:v>1.512</x:v>
      </x:c>
      <x:c r="G13" s="166" t="n">
        <x:f>G12*'Assumptions'!B18</x:f>
        <x:v>3.969</x:v>
      </x:c>
      <x:c r="H13" s="166" t="n">
        <x:f>H12*'Assumptions'!B18</x:f>
        <x:v>8.82</x:v>
      </x:c>
      <x:c r="I13" s="166" t="n">
        <x:f>I12*'Assumptions'!B18</x:f>
        <x:v>17.4636</x:v>
      </x:c>
      <x:c r="J13" s="166" t="n">
        <x:f>J12*'Assumptions'!B18</x:f>
        <x:v>31.116959999999995</x:v>
      </x:c>
      <x:c r="K13" s="166" t="n">
        <x:f>K12*'Assumptions'!B18</x:f>
        <x:v>52.009776</x:v>
      </x:c>
      <x:c r="L13" s="166" t="n">
        <x:f>L12*'Assumptions'!B18</x:f>
        <x:v>81.9153972</x:v>
      </x:c>
      <x:c r="M13" s="166" t="n">
        <x:f>M12*'Assumptions'!B18</x:f>
        <x:v>121.8979125</x:v>
      </x:c>
      <x:c r="N13" s="166" t="n">
        <x:f>N12*'Assumptions'!B18</x:f>
        <x:v>170.52705306</x:v>
      </x:c>
      <x:c r="O13" s="166" t="n">
        <x:f>O12*'Assumptions'!B18</x:f>
        <x:v>232.59096888300002</x:v>
      </x:c>
      <x:c r="P13" s="166" t="n">
        <x:f>P12*'Assumptions'!B18</x:f>
        <x:v>309.55419024894</x:v>
      </x:c>
      <x:c r="Q13" s="166" t="n">
        <x:f>Q12*'Assumptions'!B18</x:f>
        <x:v>402.2379437193936</x:v>
      </x:c>
      <x:c r="R13" s="166" t="n">
        <x:f>R12*'Assumptions'!B18</x:f>
        <x:v>510.5327747207689</x:v>
      </x:c>
      <x:c r="S13" s="166" t="n">
        <x:f>S12*'Assumptions'!B18</x:f>
        <x:v>633.1348999664401</x:v>
      </x:c>
      <x:c r="T13" s="166" t="n">
        <x:f>T12*'Assumptions'!B18</x:f>
        <x:v>754.7716541471849</x:v>
      </x:c>
      <x:c r="U13" s="166" t="n">
        <x:f>U12*'Assumptions'!B18</x:f>
        <x:v>842.3251660282583</x:v>
      </x:c>
    </x:row>
    <x:row r="14">
      <x:c r="A14" s="163" t="str">
        <x:v>Financial / alt-data clients</x:v>
      </x:c>
      <x:c r="B14" s="168" t="n">
        <x:f>'Assumptions'!B28</x:f>
        <x:v>5</x:v>
      </x:c>
      <x:c r="C14" s="168" t="n">
        <x:f>MIN('Assumptions'!B30,ROUND(B14*(1+'Assumptions'!C43),0))</x:f>
        <x:v>10</x:v>
      </x:c>
      <x:c r="D14" s="168" t="n">
        <x:f>MIN('Assumptions'!B30,ROUND(C14*(1+'Assumptions'!D43),0))</x:f>
        <x:v>18</x:v>
      </x:c>
      <x:c r="E14" s="168" t="n">
        <x:f>MIN('Assumptions'!B30,ROUND(D14*(1+'Assumptions'!E43),0))</x:f>
        <x:v>31</x:v>
      </x:c>
      <x:c r="F14" s="168" t="n">
        <x:f>MIN('Assumptions'!B30,ROUND(E14*(1+'Assumptions'!F43),0))</x:f>
        <x:v>50</x:v>
      </x:c>
      <x:c r="G14" s="168" t="n">
        <x:f>MIN('Assumptions'!B30,ROUND(F14*(1+'Assumptions'!G43),0))</x:f>
        <x:v>75</x:v>
      </x:c>
      <x:c r="H14" s="168" t="n">
        <x:f>MIN('Assumptions'!B30,ROUND(G14*(1+'Assumptions'!H43),0))</x:f>
        <x:v>109</x:v>
      </x:c>
      <x:c r="I14" s="168" t="n">
        <x:f>MIN('Assumptions'!B30,ROUND(H14*(1+'Assumptions'!I43),0))</x:f>
        <x:v>153</x:v>
      </x:c>
      <x:c r="J14" s="168" t="n">
        <x:f>MIN('Assumptions'!B30,ROUND(I14*(1+'Assumptions'!J43),0))</x:f>
        <x:v>207</x:v>
      </x:c>
      <x:c r="K14" s="168" t="n">
        <x:f>MIN('Assumptions'!B30,ROUND(J14*(1+'Assumptions'!K43),0))</x:f>
        <x:v>269</x:v>
      </x:c>
      <x:c r="L14" s="168" t="n">
        <x:f>MIN('Assumptions'!B30,ROUND(K14*(1+'Assumptions'!L43),0))</x:f>
        <x:v>336</x:v>
      </x:c>
      <x:c r="M14" s="168" t="n">
        <x:f>MIN('Assumptions'!B30,ROUND(L14*(1+'Assumptions'!M43),0))</x:f>
        <x:v>410</x:v>
      </x:c>
      <x:c r="N14" s="168" t="n">
        <x:f>MIN('Assumptions'!B30,ROUND(M14*(1+'Assumptions'!N43),0))</x:f>
        <x:v>492</x:v>
      </x:c>
      <x:c r="O14" s="168" t="n">
        <x:f>MIN('Assumptions'!B30,ROUND(N14*(1+'Assumptions'!O43),0))</x:f>
        <x:v>581</x:v>
      </x:c>
      <x:c r="P14" s="168" t="n">
        <x:f>MIN('Assumptions'!B30,ROUND(O14*(1+'Assumptions'!P43),0))</x:f>
        <x:v>674</x:v>
      </x:c>
      <x:c r="Q14" s="168" t="n">
        <x:f>MIN('Assumptions'!B30,ROUND(P14*(1+'Assumptions'!Q43),0))</x:f>
        <x:v>768</x:v>
      </x:c>
      <x:c r="R14" s="168" t="n">
        <x:f>MIN('Assumptions'!B30,ROUND(Q14*(1+'Assumptions'!R43),0))</x:f>
        <x:v>800</x:v>
      </x:c>
      <x:c r="S14" s="168" t="n">
        <x:f>MIN('Assumptions'!B30,ROUND(R14*(1+'Assumptions'!S43),0))</x:f>
        <x:v>800</x:v>
      </x:c>
      <x:c r="T14" s="168" t="n">
        <x:f>MIN('Assumptions'!B30,ROUND(S14*(1+'Assumptions'!T43),0))</x:f>
        <x:v>800</x:v>
      </x:c>
      <x:c r="U14" s="168" t="n">
        <x:f>MIN('Assumptions'!B30,ROUND(T14*(1+'Assumptions'!U43),0))</x:f>
        <x:v>800</x:v>
      </x:c>
    </x:row>
    <x:row r="15">
      <x:c r="A15" s="163" t="str">
        <x:v>Biotech / research clients</x:v>
      </x:c>
      <x:c r="B15" s="168" t="n">
        <x:f>'Assumptions'!B31</x:f>
        <x:v>3</x:v>
      </x:c>
      <x:c r="C15" s="168" t="n">
        <x:f>MIN('Assumptions'!B33,ROUND(B15*(1+'Assumptions'!C45),0))</x:f>
        <x:v>7</x:v>
      </x:c>
      <x:c r="D15" s="168" t="n">
        <x:f>MIN('Assumptions'!B33,ROUND(C15*(1+'Assumptions'!D45),0))</x:f>
        <x:v>14</x:v>
      </x:c>
      <x:c r="E15" s="168" t="n">
        <x:f>MIN('Assumptions'!B33,ROUND(D15*(1+'Assumptions'!E45),0))</x:f>
        <x:v>25</x:v>
      </x:c>
      <x:c r="F15" s="168" t="n">
        <x:f>MIN('Assumptions'!B33,ROUND(E15*(1+'Assumptions'!F45),0))</x:f>
        <x:v>41</x:v>
      </x:c>
      <x:c r="G15" s="168" t="n">
        <x:f>MIN('Assumptions'!B33,ROUND(F15*(1+'Assumptions'!G45),0))</x:f>
        <x:v>64</x:v>
      </x:c>
      <x:c r="H15" s="168" t="n">
        <x:f>MIN('Assumptions'!B33,ROUND(G15*(1+'Assumptions'!H45),0))</x:f>
        <x:v>93</x:v>
      </x:c>
      <x:c r="I15" s="168" t="n">
        <x:f>MIN('Assumptions'!B33,ROUND(H15*(1+'Assumptions'!I45),0))</x:f>
        <x:v>130</x:v>
      </x:c>
      <x:c r="J15" s="168" t="n">
        <x:f>MIN('Assumptions'!B33,ROUND(I15*(1+'Assumptions'!J45),0))</x:f>
        <x:v>176</x:v>
      </x:c>
      <x:c r="K15" s="168" t="n">
        <x:f>MIN('Assumptions'!B33,ROUND(J15*(1+'Assumptions'!K45),0))</x:f>
        <x:v>229</x:v>
      </x:c>
      <x:c r="L15" s="168" t="n">
        <x:f>MIN('Assumptions'!B33,ROUND(K15*(1+'Assumptions'!L45),0))</x:f>
        <x:v>286</x:v>
      </x:c>
      <x:c r="M15" s="168" t="n">
        <x:f>MIN('Assumptions'!B33,ROUND(L15*(1+'Assumptions'!M45),0))</x:f>
        <x:v>349</x:v>
      </x:c>
      <x:c r="N15" s="168" t="n">
        <x:f>MIN('Assumptions'!B33,ROUND(M15*(1+'Assumptions'!N45),0))</x:f>
        <x:v>419</x:v>
      </x:c>
      <x:c r="O15" s="168" t="n">
        <x:f>MIN('Assumptions'!B33,ROUND(N15*(1+'Assumptions'!O45),0))</x:f>
        <x:v>494</x:v>
      </x:c>
      <x:c r="P15" s="168" t="n">
        <x:f>MIN('Assumptions'!B33,ROUND(O15*(1+'Assumptions'!P45),0))</x:f>
        <x:v>573</x:v>
      </x:c>
      <x:c r="Q15" s="168" t="n">
        <x:f>MIN('Assumptions'!B33,ROUND(P15*(1+'Assumptions'!Q45),0))</x:f>
        <x:v>600</x:v>
      </x:c>
      <x:c r="R15" s="168" t="n">
        <x:f>MIN('Assumptions'!B33,ROUND(Q15*(1+'Assumptions'!R45),0))</x:f>
        <x:v>600</x:v>
      </x:c>
      <x:c r="S15" s="168" t="n">
        <x:f>MIN('Assumptions'!B33,ROUND(R15*(1+'Assumptions'!S45),0))</x:f>
        <x:v>600</x:v>
      </x:c>
      <x:c r="T15" s="168" t="n">
        <x:f>MIN('Assumptions'!B33,ROUND(S15*(1+'Assumptions'!T45),0))</x:f>
        <x:v>600</x:v>
      </x:c>
      <x:c r="U15" s="168" t="n">
        <x:f>MIN('Assumptions'!B33,ROUND(T15*(1+'Assumptions'!U45),0))</x:f>
        <x:v>600</x:v>
      </x:c>
    </x:row>
    <x:row r="16">
      <x:c r="A16" s="163" t="str">
        <x:v>Government / municipal clients</x:v>
      </x:c>
      <x:c r="B16" s="168" t="n">
        <x:f>'Assumptions'!B34</x:f>
        <x:v>5</x:v>
      </x:c>
      <x:c r="C16" s="168" t="n">
        <x:f>MIN('Assumptions'!B35,ROUND(B16*(1+'Assumptions'!C47),0))</x:f>
        <x:v>13</x:v>
      </x:c>
      <x:c r="D16" s="168" t="n">
        <x:f>MIN('Assumptions'!B35,ROUND(C16*(1+'Assumptions'!D47),0))</x:f>
        <x:v>29</x:v>
      </x:c>
      <x:c r="E16" s="168" t="n">
        <x:f>MIN('Assumptions'!B35,ROUND(D16*(1+'Assumptions'!E47),0))</x:f>
        <x:v>58</x:v>
      </x:c>
      <x:c r="F16" s="168" t="n">
        <x:f>MIN('Assumptions'!B35,ROUND(E16*(1+'Assumptions'!F47),0))</x:f>
        <x:v>104</x:v>
      </x:c>
      <x:c r="G16" s="168" t="n">
        <x:f>MIN('Assumptions'!B35,ROUND(F16*(1+'Assumptions'!G47),0))</x:f>
        <x:v>172</x:v>
      </x:c>
      <x:c r="H16" s="168" t="n">
        <x:f>MIN('Assumptions'!B35,ROUND(G16*(1+'Assumptions'!H47),0))</x:f>
        <x:v>267</x:v>
      </x:c>
      <x:c r="I16" s="168" t="n">
        <x:f>MIN('Assumptions'!B35,ROUND(H16*(1+'Assumptions'!I47),0))</x:f>
        <x:v>401</x:v>
      </x:c>
      <x:c r="J16" s="168" t="n">
        <x:f>MIN('Assumptions'!B35,ROUND(I16*(1+'Assumptions'!J47),0))</x:f>
        <x:v>581</x:v>
      </x:c>
      <x:c r="K16" s="168" t="n">
        <x:f>MIN('Assumptions'!B35,ROUND(J16*(1+'Assumptions'!K47),0))</x:f>
        <x:v>813</x:v>
      </x:c>
      <x:c r="L16" s="168" t="n">
        <x:f>MIN('Assumptions'!B35,ROUND(K16*(1+'Assumptions'!L47),0))</x:f>
        <x:v>1098</x:v>
      </x:c>
      <x:c r="M16" s="168" t="n">
        <x:f>MIN('Assumptions'!B35,ROUND(L16*(1+'Assumptions'!M47),0))</x:f>
        <x:v>1427</x:v>
      </x:c>
      <x:c r="N16" s="168" t="n">
        <x:f>MIN('Assumptions'!B35,ROUND(M16*(1+'Assumptions'!N47),0))</x:f>
        <x:v>1500</x:v>
      </x:c>
      <x:c r="O16" s="168" t="n">
        <x:f>MIN('Assumptions'!B35,ROUND(N16*(1+'Assumptions'!O47),0))</x:f>
        <x:v>1500</x:v>
      </x:c>
      <x:c r="P16" s="168" t="n">
        <x:f>MIN('Assumptions'!B35,ROUND(O16*(1+'Assumptions'!P47),0))</x:f>
        <x:v>1500</x:v>
      </x:c>
      <x:c r="Q16" s="168" t="n">
        <x:f>MIN('Assumptions'!B35,ROUND(P16*(1+'Assumptions'!Q47),0))</x:f>
        <x:v>1500</x:v>
      </x:c>
      <x:c r="R16" s="168" t="n">
        <x:f>MIN('Assumptions'!B35,ROUND(Q16*(1+'Assumptions'!R47),0))</x:f>
        <x:v>1500</x:v>
      </x:c>
      <x:c r="S16" s="168" t="n">
        <x:f>MIN('Assumptions'!B35,ROUND(R16*(1+'Assumptions'!S47),0))</x:f>
        <x:v>1500</x:v>
      </x:c>
      <x:c r="T16" s="168" t="n">
        <x:f>MIN('Assumptions'!B35,ROUND(S16*(1+'Assumptions'!T47),0))</x:f>
        <x:v>1500</x:v>
      </x:c>
      <x:c r="U16" s="168" t="n">
        <x:f>MIN('Assumptions'!B35,ROUND(T16*(1+'Assumptions'!U47),0))</x:f>
        <x:v>1500</x:v>
      </x:c>
    </x:row>
    <x:row r="17">
      <x:c r="A17" s="163" t="str">
        <x:v>Ad-eligible visits (mm)</x:v>
      </x:c>
      <x:c r="B17" s="166" t="n">
        <x:f>B9*'Assumptions'!B16</x:f>
        <x:v>0.4</x:v>
      </x:c>
      <x:c r="C17" s="166" t="n">
        <x:f>C9*'Assumptions'!B16</x:f>
        <x:v>1.7500000000000002</x:v>
      </x:c>
      <x:c r="D17" s="166" t="n">
        <x:f>D9*'Assumptions'!B16</x:f>
        <x:v>6.300000000000001</x:v>
      </x:c>
      <x:c r="E17" s="166" t="n">
        <x:f>E9*'Assumptions'!B16</x:f>
        <x:v>18.375</x:v>
      </x:c>
      <x:c r="F17" s="166" t="n">
        <x:f>F9*'Assumptions'!B16</x:f>
        <x:v>42</x:v>
      </x:c>
      <x:c r="G17" s="166" t="n">
        <x:f>G9*'Assumptions'!B16</x:f>
        <x:v>82.6875</x:v>
      </x:c>
      <x:c r="H17" s="166" t="n">
        <x:f>H9*'Assumptions'!B16</x:f>
        <x:v>147</x:v>
      </x:c>
      <x:c r="I17" s="166" t="n">
        <x:f>I9*'Assumptions'!B16</x:f>
        <x:v>242.55</x:v>
      </x:c>
      <x:c r="J17" s="166" t="n">
        <x:f>J9*'Assumptions'!B16</x:f>
        <x:v>370.43999999999994</x:v>
      </x:c>
      <x:c r="K17" s="166" t="n">
        <x:f>K9*'Assumptions'!B16</x:f>
        <x:v>541.7685</x:v>
      </x:c>
      <x:c r="L17" s="166" t="n">
        <x:f>L9*'Assumptions'!B16</x:f>
        <x:v>758.4759</x:v>
      </x:c>
      <x:c r="M17" s="166" t="n">
        <x:f>M9*'Assumptions'!B16</x:f>
        <x:v>1015.8159375</x:v>
      </x:c>
      <x:c r="N17" s="166" t="n">
        <x:f>N9*'Assumptions'!B16</x:f>
        <x:v>1321.91514</x:v>
      </x:c>
      <x:c r="O17" s="166" t="n">
        <x:f>O9*'Assumptions'!B16</x:f>
        <x:v>1685.4418035</x:v>
      </x:c>
      <x:c r="P17" s="166" t="n">
        <x:f>P9*'Assumptions'!B16</x:f>
        <x:v>2105.81081802</x:v>
      </x:c>
      <x:c r="Q17" s="166" t="n">
        <x:f>Q9*'Assumptions'!B16</x:f>
        <x:v>2578.4483571756</x:v>
      </x:c>
      <x:c r="R17" s="166" t="n">
        <x:f>R9*'Assumptions'!B16</x:f>
        <x:v>3094.1380286107205</x:v>
      </x:c>
      <x:c r="S17" s="166" t="n">
        <x:f>S9*'Assumptions'!B16</x:f>
        <x:v>3638.7063216462075</x:v>
      </x:c>
      <x:c r="T17" s="166" t="n">
        <x:f>T9*'Assumptions'!B16</x:f>
        <x:v>4193.175856373249</x:v>
      </x:c>
      <x:c r="U17" s="166" t="n">
        <x:f>U9*'Assumptions'!B16</x:f>
        <x:v>4528.629924883109</x:v>
      </x:c>
    </x:row>
    <x:row r="18">
      <x:c r="A18" s="163" t="str">
        <x:v>Toilet-paper ad impressions (mm)</x:v>
      </x:c>
      <x:c r="B18" s="166" t="n">
        <x:f>B17*'Assumptions'!B15*'Assumptions'!B14</x:f>
        <x:v>0.39</x:v>
      </x:c>
      <x:c r="C18" s="166" t="n">
        <x:f>C17*'Assumptions'!B15*'Assumptions'!B14</x:f>
        <x:v>1.7062500000000003</x:v>
      </x:c>
      <x:c r="D18" s="166" t="n">
        <x:f>D17*'Assumptions'!B15*'Assumptions'!B14</x:f>
        <x:v>6.142500000000001</x:v>
      </x:c>
      <x:c r="E18" s="166" t="n">
        <x:f>E17*'Assumptions'!B15*'Assumptions'!B14</x:f>
        <x:v>17.915625</x:v>
      </x:c>
      <x:c r="F18" s="166" t="n">
        <x:f>F17*'Assumptions'!B15*'Assumptions'!B14</x:f>
        <x:v>40.95</x:v>
      </x:c>
      <x:c r="G18" s="166" t="n">
        <x:f>G17*'Assumptions'!B15*'Assumptions'!B14</x:f>
        <x:v>80.62031250000001</x:v>
      </x:c>
      <x:c r="H18" s="166" t="n">
        <x:f>H17*'Assumptions'!B15*'Assumptions'!B14</x:f>
        <x:v>143.325</x:v>
      </x:c>
      <x:c r="I18" s="166" t="n">
        <x:f>I17*'Assumptions'!B15*'Assumptions'!B14</x:f>
        <x:v>236.48624999999998</x:v>
      </x:c>
      <x:c r="J18" s="166" t="n">
        <x:f>J17*'Assumptions'!B15*'Assumptions'!B14</x:f>
        <x:v>361.179</x:v>
      </x:c>
      <x:c r="K18" s="166" t="n">
        <x:f>K17*'Assumptions'!B15*'Assumptions'!B14</x:f>
        <x:v>528.2242875000001</x:v>
      </x:c>
      <x:c r="L18" s="166" t="n">
        <x:f>L17*'Assumptions'!B15*'Assumptions'!B14</x:f>
        <x:v>739.5140025000001</x:v>
      </x:c>
      <x:c r="M18" s="166" t="n">
        <x:f>M17*'Assumptions'!B15*'Assumptions'!B14</x:f>
        <x:v>990.4205390625</x:v>
      </x:c>
      <x:c r="N18" s="166" t="n">
        <x:f>N17*'Assumptions'!B15*'Assumptions'!B14</x:f>
        <x:v>1288.8672615</x:v>
      </x:c>
      <x:c r="O18" s="166" t="n">
        <x:f>O17*'Assumptions'!B15*'Assumptions'!B14</x:f>
        <x:v>1643.3057584125002</x:v>
      </x:c>
      <x:c r="P18" s="166" t="n">
        <x:f>P17*'Assumptions'!B15*'Assumptions'!B14</x:f>
        <x:v>2053.1655475695006</x:v>
      </x:c>
      <x:c r="Q18" s="166" t="n">
        <x:f>Q17*'Assumptions'!B15*'Assumptions'!B14</x:f>
        <x:v>2513.98714824621</x:v>
      </x:c>
      <x:c r="R18" s="166" t="n">
        <x:f>R17*'Assumptions'!B15*'Assumptions'!B14</x:f>
        <x:v>3016.784577895453</x:v>
      </x:c>
      <x:c r="S18" s="166" t="n">
        <x:f>S17*'Assumptions'!B15*'Assumptions'!B14</x:f>
        <x:v>3547.7386636050524</x:v>
      </x:c>
      <x:c r="T18" s="166" t="n">
        <x:f>T17*'Assumptions'!B15*'Assumptions'!B14</x:f>
        <x:v>4088.346459963918</x:v>
      </x:c>
      <x:c r="U18" s="166" t="n">
        <x:f>U17*'Assumptions'!B15*'Assumptions'!B14</x:f>
        <x:v>4415.414176761032</x:v>
      </x:c>
    </x:row>
    <x:row r="19">
      <x:c r="A19" s="163"/>
      <x:c r="B19" s="163"/>
      <x:c r="C19" s="163"/>
      <x:c r="D19" s="163"/>
      <x:c r="E19" s="163"/>
      <x:c r="F19" s="163"/>
      <x:c r="G19" s="163"/>
      <x:c r="H19" s="163"/>
      <x:c r="I19" s="163"/>
      <x:c r="J19" s="163"/>
      <x:c r="K19" s="163"/>
      <x:c r="L19" s="163"/>
      <x:c r="M19" s="163"/>
      <x:c r="N19" s="163"/>
      <x:c r="O19" s="163"/>
      <x:c r="P19" s="163"/>
      <x:c r="Q19" s="163"/>
      <x:c r="R19" s="163"/>
      <x:c r="S19" s="163"/>
      <x:c r="T19" s="163"/>
      <x:c r="U19" s="163"/>
    </x:row>
    <x:row r="20">
      <x:c r="A20" s="163"/>
      <x:c r="B20" s="163"/>
      <x:c r="C20" s="163"/>
      <x:c r="D20" s="163"/>
      <x:c r="E20" s="163"/>
      <x:c r="F20" s="163"/>
      <x:c r="G20" s="163"/>
      <x:c r="H20" s="163"/>
      <x:c r="I20" s="163"/>
      <x:c r="J20" s="163"/>
      <x:c r="K20" s="163"/>
      <x:c r="L20" s="163"/>
      <x:c r="M20" s="163"/>
      <x:c r="N20" s="163"/>
      <x:c r="O20" s="163"/>
      <x:c r="P20" s="163"/>
      <x:c r="Q20" s="163"/>
      <x:c r="R20" s="163"/>
      <x:c r="S20" s="163"/>
      <x:c r="T20" s="163"/>
      <x:c r="U20" s="163"/>
    </x:row>
    <x:row r="21">
      <x:c r="A21" s="163"/>
      <x:c r="B21" s="163"/>
      <x:c r="C21" s="163"/>
      <x:c r="D21" s="163"/>
      <x:c r="E21" s="163"/>
      <x:c r="F21" s="163"/>
      <x:c r="G21" s="163"/>
      <x:c r="H21" s="163"/>
      <x:c r="I21" s="163"/>
      <x:c r="J21" s="163"/>
      <x:c r="K21" s="163"/>
      <x:c r="L21" s="163"/>
      <x:c r="M21" s="163"/>
      <x:c r="N21" s="163"/>
      <x:c r="O21" s="163"/>
      <x:c r="P21" s="163"/>
      <x:c r="Q21" s="163"/>
      <x:c r="R21" s="163"/>
      <x:c r="S21" s="163"/>
      <x:c r="T21" s="163"/>
      <x:c r="U21" s="163"/>
    </x:row>
    <x:row r="22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  <x:c r="M22" s="163"/>
      <x:c r="N22" s="163"/>
      <x:c r="O22" s="163"/>
      <x:c r="P22" s="163"/>
      <x:c r="Q22" s="163"/>
      <x:c r="R22" s="163"/>
      <x:c r="S22" s="163"/>
      <x:c r="T22" s="163"/>
      <x:c r="U22" s="163"/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</x:row>
    <x:row r="24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  <x:c r="M24" s="163"/>
      <x:c r="N24" s="163"/>
      <x:c r="O24" s="163"/>
      <x:c r="P24" s="163"/>
      <x:c r="Q24" s="163"/>
      <x:c r="R24" s="163"/>
      <x:c r="S24" s="163"/>
      <x:c r="T24" s="163"/>
      <x:c r="U24" s="163"/>
    </x:row>
    <x:row r="25">
      <x:c r="A25" s="163"/>
      <x:c r="B25" s="163"/>
      <x:c r="C25" s="163"/>
      <x:c r="D25" s="163"/>
      <x:c r="E25" s="163"/>
      <x:c r="F25" s="163"/>
      <x:c r="G25" s="163"/>
      <x:c r="H25" s="163"/>
      <x:c r="I25" s="163"/>
      <x:c r="J25" s="163"/>
      <x:c r="K25" s="163"/>
      <x:c r="L25" s="163"/>
      <x:c r="M25" s="163"/>
      <x:c r="N25" s="163"/>
      <x:c r="O25" s="163"/>
      <x:c r="P25" s="163"/>
      <x:c r="Q25" s="163"/>
      <x:c r="R25" s="163"/>
      <x:c r="S25" s="163"/>
      <x:c r="T25" s="163"/>
      <x:c r="U25" s="163"/>
    </x:row>
    <x:row r="26">
      <x:c r="A26" s="163"/>
      <x:c r="B26" s="163"/>
      <x:c r="C26" s="163"/>
      <x:c r="D26" s="163"/>
      <x:c r="E26" s="163"/>
      <x:c r="F26" s="163"/>
      <x:c r="G26" s="163"/>
      <x:c r="H26" s="163"/>
      <x:c r="I26" s="163"/>
      <x:c r="J26" s="163"/>
      <x:c r="K26" s="163"/>
      <x:c r="L26" s="163"/>
      <x:c r="M26" s="163"/>
      <x:c r="N26" s="163"/>
      <x:c r="O26" s="163"/>
      <x:c r="P26" s="163"/>
      <x:c r="Q26" s="163"/>
      <x:c r="R26" s="163"/>
      <x:c r="S26" s="163"/>
      <x:c r="T26" s="163"/>
      <x:c r="U26" s="163"/>
    </x:row>
    <x:row r="27">
      <x:c r="A27" s="163"/>
      <x:c r="B27" s="163"/>
      <x:c r="C27" s="163"/>
      <x:c r="D27" s="163"/>
      <x:c r="E27" s="163"/>
      <x:c r="F27" s="163"/>
      <x:c r="G27" s="163"/>
      <x:c r="H27" s="163"/>
      <x:c r="I27" s="163"/>
      <x:c r="J27" s="163"/>
      <x:c r="K27" s="163"/>
      <x:c r="L27" s="163"/>
      <x:c r="M27" s="163"/>
      <x:c r="N27" s="163"/>
      <x:c r="O27" s="163"/>
      <x:c r="P27" s="163"/>
      <x:c r="Q27" s="163"/>
      <x:c r="R27" s="163"/>
      <x:c r="S27" s="163"/>
      <x:c r="T27" s="163"/>
      <x:c r="U27" s="163"/>
    </x:row>
    <x:row r="28">
      <x:c r="A28" s="163"/>
      <x:c r="B28" s="163"/>
      <x:c r="C28" s="163"/>
      <x:c r="D28" s="163"/>
      <x:c r="E28" s="163"/>
      <x:c r="F28" s="163"/>
      <x:c r="G28" s="163"/>
      <x:c r="H28" s="163"/>
      <x:c r="I28" s="163"/>
      <x:c r="J28" s="163"/>
      <x:c r="K28" s="163"/>
      <x:c r="L28" s="163"/>
      <x:c r="M28" s="163"/>
      <x:c r="N28" s="163"/>
      <x:c r="O28" s="163"/>
      <x:c r="P28" s="163"/>
      <x:c r="Q28" s="163"/>
      <x:c r="R28" s="163"/>
      <x:c r="S28" s="163"/>
      <x:c r="T28" s="163"/>
      <x:c r="U28" s="163"/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7"/>
      <x:c r="N61" s="117"/>
      <x:c r="O61" s="117"/>
      <x:c r="P61" s="117"/>
      <x:c r="Q61" s="117"/>
      <x:c r="R61" s="117"/>
      <x:c r="S61" s="117"/>
      <x:c r="T61" s="117"/>
      <x:c r="U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7"/>
      <x:c r="N62" s="117"/>
      <x:c r="O62" s="117"/>
      <x:c r="P62" s="117"/>
      <x:c r="Q62" s="117"/>
      <x:c r="R62" s="117"/>
      <x:c r="S62" s="117"/>
      <x:c r="T62" s="117"/>
      <x:c r="U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7"/>
      <x:c r="N63" s="117"/>
      <x:c r="O63" s="117"/>
      <x:c r="P63" s="117"/>
      <x:c r="Q63" s="117"/>
      <x:c r="R63" s="117"/>
      <x:c r="S63" s="117"/>
      <x:c r="T63" s="117"/>
      <x:c r="U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  <x:c r="O64" s="117"/>
      <x:c r="P64" s="117"/>
      <x:c r="Q64" s="117"/>
      <x:c r="R64" s="117"/>
      <x:c r="S64" s="117"/>
      <x:c r="T64" s="117"/>
      <x:c r="U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  <x:c r="O65" s="117"/>
      <x:c r="P65" s="117"/>
      <x:c r="Q65" s="117"/>
      <x:c r="R65" s="117"/>
      <x:c r="S65" s="117"/>
      <x:c r="T65" s="117"/>
      <x:c r="U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  <x:c r="R67" s="117"/>
      <x:c r="S67" s="117"/>
      <x:c r="T67" s="117"/>
      <x:c r="U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  <x:c r="R68" s="117"/>
      <x:c r="S68" s="117"/>
      <x:c r="T68" s="117"/>
      <x:c r="U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  <x:c r="O69" s="117"/>
      <x:c r="P69" s="117"/>
      <x:c r="Q69" s="117"/>
      <x:c r="R69" s="117"/>
      <x:c r="S69" s="117"/>
      <x:c r="T69" s="117"/>
      <x:c r="U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</x:row>
  </x:sheetData>
  <x:mergeCells>
    <x:mergeCell ref="A1:U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6" customHeight="1">
      <x:c r="A1" s="162" t="str">
        <x:v>LibertyPass — Revenue Build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</x:row>
    <x:row r="3">
      <x:c r="A3" s="164" t="str">
        <x:v>Metric</x:v>
      </x:c>
      <x:c r="B3" s="165" t="str">
        <x:v>2027E</x:v>
      </x:c>
      <x:c r="C3" s="165" t="str">
        <x:v>2028E</x:v>
      </x:c>
      <x:c r="D3" s="165" t="str">
        <x:v>2029E</x:v>
      </x:c>
      <x:c r="E3" s="165" t="str">
        <x:v>2030E</x:v>
      </x:c>
      <x:c r="F3" s="165" t="str">
        <x:v>2031E</x:v>
      </x:c>
      <x:c r="G3" s="165" t="str">
        <x:v>2032E</x:v>
      </x:c>
      <x:c r="H3" s="165" t="str">
        <x:v>2033E</x:v>
      </x:c>
      <x:c r="I3" s="165" t="str">
        <x:v>2034E</x:v>
      </x:c>
      <x:c r="J3" s="165" t="str">
        <x:v>2035E</x:v>
      </x:c>
      <x:c r="K3" s="165" t="str">
        <x:v>2036E</x:v>
      </x:c>
      <x:c r="L3" s="165" t="str">
        <x:v>2037E</x:v>
      </x:c>
      <x:c r="M3" s="165" t="str">
        <x:v>2038E</x:v>
      </x:c>
      <x:c r="N3" s="165" t="str">
        <x:v>2039E</x:v>
      </x:c>
      <x:c r="O3" s="165" t="str">
        <x:v>2040E</x:v>
      </x:c>
      <x:c r="P3" s="165" t="str">
        <x:v>2041E</x:v>
      </x:c>
      <x:c r="Q3" s="165" t="str">
        <x:v>2042E</x:v>
      </x:c>
      <x:c r="R3" s="165" t="str">
        <x:v>2043E</x:v>
      </x:c>
      <x:c r="S3" s="165" t="str">
        <x:v>2044E</x:v>
      </x:c>
      <x:c r="T3" s="165" t="str">
        <x:v>2045E</x:v>
      </x:c>
      <x:c r="U3" s="165" t="str">
        <x:v>2046E</x:v>
      </x:c>
    </x:row>
    <x:row r="4" ht="20" customHeight="1">
      <x:c r="A4" s="176" t="str">
        <x:v>Consumer Membership</x:v>
      </x:c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</x:row>
    <x:row r="5">
      <x:c r="A5" s="163" t="str">
        <x:v>Members (mm)</x:v>
      </x:c>
      <x:c r="B5" s="166" t="n">
        <x:f>'Operating Build'!B4</x:f>
        <x:v>0.2</x:v>
      </x:c>
      <x:c r="C5" s="166" t="n">
        <x:f>'Operating Build'!C4</x:f>
        <x:v>0.7000000000000001</x:v>
      </x:c>
      <x:c r="D5" s="166" t="n">
        <x:f>'Operating Build'!D4</x:f>
        <x:v>2.1</x:v>
      </x:c>
      <x:c r="E5" s="166" t="n">
        <x:f>'Operating Build'!E4</x:f>
        <x:v>5.25</x:v>
      </x:c>
      <x:c r="F5" s="166" t="n">
        <x:f>'Operating Build'!F4</x:f>
        <x:v>10.5</x:v>
      </x:c>
      <x:c r="G5" s="166" t="n">
        <x:f>'Operating Build'!G4</x:f>
        <x:v>18.375</x:v>
      </x:c>
      <x:c r="H5" s="166" t="n">
        <x:f>'Operating Build'!H4</x:f>
        <x:v>29.400000000000002</x:v>
      </x:c>
      <x:c r="I5" s="166" t="n">
        <x:f>'Operating Build'!I4</x:f>
        <x:v>44.1</x:v>
      </x:c>
      <x:c r="J5" s="166" t="n">
        <x:f>'Operating Build'!J4</x:f>
        <x:v>61.739999999999995</x:v>
      </x:c>
      <x:c r="K5" s="166" t="n">
        <x:f>'Operating Build'!K4</x:f>
        <x:v>83.349</x:v>
      </x:c>
      <x:c r="L5" s="166" t="n">
        <x:f>'Operating Build'!L4</x:f>
        <x:v>108.3537</x:v>
      </x:c>
      <x:c r="M5" s="166" t="n">
        <x:f>'Operating Build'!M4</x:f>
        <x:v>135.442125</x:v>
      </x:c>
      <x:c r="N5" s="166" t="n">
        <x:f>'Operating Build'!N4</x:f>
        <x:v>165.2393925</x:v>
      </x:c>
      <x:c r="O5" s="166" t="n">
        <x:f>'Operating Build'!O4</x:f>
        <x:v>198.287271</x:v>
      </x:c>
      <x:c r="P5" s="166" t="n">
        <x:f>'Operating Build'!P4</x:f>
        <x:v>233.97897978</x:v>
      </x:c>
      <x:c r="Q5" s="166" t="n">
        <x:f>'Operating Build'!Q4</x:f>
        <x:v>271.4156165448</x:v>
      </x:c>
      <x:c r="R5" s="166" t="n">
        <x:f>'Operating Build'!R4</x:f>
        <x:v>309.41380286107204</x:v>
      </x:c>
      <x:c r="S5" s="166" t="n">
        <x:f>'Operating Build'!S4</x:f>
        <x:v>346.54345920440073</x:v>
      </x:c>
      <x:c r="T5" s="166" t="n">
        <x:f>'Operating Build'!T4</x:f>
        <x:v>381.19780512484084</x:v>
      </x:c>
      <x:c r="U5" s="166" t="n">
        <x:f>'Operating Build'!U4</x:f>
        <x:v>411.6936295348281</x:v>
      </x:c>
    </x:row>
    <x:row r="6">
      <x:c r="A6" s="163" t="str">
        <x:v>Subscription revenue ($mm)</x:v>
      </x:c>
      <x:c r="B6" s="177" t="n">
        <x:f>B5*'Assumptions'!B5</x:f>
        <x:v>0.2</x:v>
      </x:c>
      <x:c r="C6" s="177" t="n">
        <x:f>C5*'Assumptions'!B5</x:f>
        <x:v>0.7000000000000001</x:v>
      </x:c>
      <x:c r="D6" s="177" t="n">
        <x:f>D5*'Assumptions'!B5</x:f>
        <x:v>2.1</x:v>
      </x:c>
      <x:c r="E6" s="177" t="n">
        <x:f>E5*'Assumptions'!B5</x:f>
        <x:v>5.25</x:v>
      </x:c>
      <x:c r="F6" s="177" t="n">
        <x:f>F5*'Assumptions'!B5</x:f>
        <x:v>10.5</x:v>
      </x:c>
      <x:c r="G6" s="177" t="n">
        <x:f>G5*'Assumptions'!B5</x:f>
        <x:v>18.375</x:v>
      </x:c>
      <x:c r="H6" s="177" t="n">
        <x:f>H5*'Assumptions'!B5</x:f>
        <x:v>29.400000000000002</x:v>
      </x:c>
      <x:c r="I6" s="177" t="n">
        <x:f>I5*'Assumptions'!B5</x:f>
        <x:v>44.1</x:v>
      </x:c>
      <x:c r="J6" s="177" t="n">
        <x:f>J5*'Assumptions'!B5</x:f>
        <x:v>61.739999999999995</x:v>
      </x:c>
      <x:c r="K6" s="177" t="n">
        <x:f>K5*'Assumptions'!B5</x:f>
        <x:v>83.349</x:v>
      </x:c>
      <x:c r="L6" s="177" t="n">
        <x:f>L5*'Assumptions'!B5</x:f>
        <x:v>108.3537</x:v>
      </x:c>
      <x:c r="M6" s="177" t="n">
        <x:f>M5*'Assumptions'!B5</x:f>
        <x:v>135.442125</x:v>
      </x:c>
      <x:c r="N6" s="177" t="n">
        <x:f>N5*'Assumptions'!B5</x:f>
        <x:v>165.2393925</x:v>
      </x:c>
      <x:c r="O6" s="177" t="n">
        <x:f>O5*'Assumptions'!B5</x:f>
        <x:v>198.287271</x:v>
      </x:c>
      <x:c r="P6" s="177" t="n">
        <x:f>P5*'Assumptions'!B5</x:f>
        <x:v>233.97897978</x:v>
      </x:c>
      <x:c r="Q6" s="177" t="n">
        <x:f>Q5*'Assumptions'!B5</x:f>
        <x:v>271.4156165448</x:v>
      </x:c>
      <x:c r="R6" s="177" t="n">
        <x:f>R5*'Assumptions'!B5</x:f>
        <x:v>309.41380286107204</x:v>
      </x:c>
      <x:c r="S6" s="177" t="n">
        <x:f>S5*'Assumptions'!B5</x:f>
        <x:v>346.54345920440073</x:v>
      </x:c>
      <x:c r="T6" s="177" t="n">
        <x:f>T5*'Assumptions'!B5</x:f>
        <x:v>381.19780512484084</x:v>
      </x:c>
      <x:c r="U6" s="177" t="n">
        <x:f>U5*'Assumptions'!B5</x:f>
        <x:v>411.6936295348281</x:v>
      </x:c>
    </x:row>
    <x:row r="7">
      <x:c r="A7" s="163"/>
      <x:c r="B7" s="178"/>
      <x:c r="C7" s="178"/>
      <x:c r="D7" s="178"/>
      <x:c r="E7" s="178"/>
      <x:c r="F7" s="178"/>
      <x:c r="G7" s="178"/>
      <x:c r="H7" s="178"/>
      <x:c r="I7" s="178"/>
      <x:c r="J7" s="178"/>
      <x:c r="K7" s="178"/>
      <x:c r="L7" s="178"/>
      <x:c r="M7" s="178"/>
      <x:c r="N7" s="178"/>
      <x:c r="O7" s="178"/>
      <x:c r="P7" s="178"/>
      <x:c r="Q7" s="178"/>
      <x:c r="R7" s="178"/>
      <x:c r="S7" s="178"/>
      <x:c r="T7" s="178"/>
      <x:c r="U7" s="178"/>
    </x:row>
    <x:row r="8" ht="20" customHeight="1">
      <x:c r="A8" s="176" t="str">
        <x:v>Financial / Alternative Data</x:v>
      </x:c>
      <x:c r="B8" s="179"/>
      <x:c r="C8" s="179"/>
      <x:c r="D8" s="179"/>
      <x:c r="E8" s="179"/>
      <x:c r="F8" s="179"/>
      <x:c r="G8" s="179"/>
      <x:c r="H8" s="179"/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</x:row>
    <x:row r="9">
      <x:c r="A9" s="163" t="str">
        <x:v>Clients</x:v>
      </x:c>
      <x:c r="B9" s="168" t="n">
        <x:f>'Operating Build'!B14</x:f>
        <x:v>5</x:v>
      </x:c>
      <x:c r="C9" s="168" t="n">
        <x:f>'Operating Build'!C14</x:f>
        <x:v>10</x:v>
      </x:c>
      <x:c r="D9" s="168" t="n">
        <x:f>'Operating Build'!D14</x:f>
        <x:v>18</x:v>
      </x:c>
      <x:c r="E9" s="168" t="n">
        <x:f>'Operating Build'!E14</x:f>
        <x:v>31</x:v>
      </x:c>
      <x:c r="F9" s="168" t="n">
        <x:f>'Operating Build'!F14</x:f>
        <x:v>50</x:v>
      </x:c>
      <x:c r="G9" s="168" t="n">
        <x:f>'Operating Build'!G14</x:f>
        <x:v>75</x:v>
      </x:c>
      <x:c r="H9" s="168" t="n">
        <x:f>'Operating Build'!H14</x:f>
        <x:v>109</x:v>
      </x:c>
      <x:c r="I9" s="168" t="n">
        <x:f>'Operating Build'!I14</x:f>
        <x:v>153</x:v>
      </x:c>
      <x:c r="J9" s="168" t="n">
        <x:f>'Operating Build'!J14</x:f>
        <x:v>207</x:v>
      </x:c>
      <x:c r="K9" s="168" t="n">
        <x:f>'Operating Build'!K14</x:f>
        <x:v>269</x:v>
      </x:c>
      <x:c r="L9" s="168" t="n">
        <x:f>'Operating Build'!L14</x:f>
        <x:v>336</x:v>
      </x:c>
      <x:c r="M9" s="168" t="n">
        <x:f>'Operating Build'!M14</x:f>
        <x:v>410</x:v>
      </x:c>
      <x:c r="N9" s="168" t="n">
        <x:f>'Operating Build'!N14</x:f>
        <x:v>492</x:v>
      </x:c>
      <x:c r="O9" s="168" t="n">
        <x:f>'Operating Build'!O14</x:f>
        <x:v>581</x:v>
      </x:c>
      <x:c r="P9" s="168" t="n">
        <x:f>'Operating Build'!P14</x:f>
        <x:v>674</x:v>
      </x:c>
      <x:c r="Q9" s="168" t="n">
        <x:f>'Operating Build'!Q14</x:f>
        <x:v>768</x:v>
      </x:c>
      <x:c r="R9" s="168" t="n">
        <x:f>'Operating Build'!R14</x:f>
        <x:v>800</x:v>
      </x:c>
      <x:c r="S9" s="168" t="n">
        <x:f>'Operating Build'!S14</x:f>
        <x:v>800</x:v>
      </x:c>
      <x:c r="T9" s="168" t="n">
        <x:f>'Operating Build'!T14</x:f>
        <x:v>800</x:v>
      </x:c>
      <x:c r="U9" s="168" t="n">
        <x:f>'Operating Build'!U14</x:f>
        <x:v>800</x:v>
      </x:c>
    </x:row>
    <x:row r="10">
      <x:c r="A10" s="163" t="str">
        <x:v>Average contract value ($mm)</x:v>
      </x:c>
      <x:c r="B10" s="177" t="n">
        <x:f>'Assumptions'!B29</x:f>
        <x:v>0.25</x:v>
      </x:c>
      <x:c r="C10" s="177" t="n">
        <x:f>B10*(1+'Assumptions'!C44)</x:f>
        <x:v>0.2875</x:v>
      </x:c>
      <x:c r="D10" s="177" t="n">
        <x:f>C10*(1+'Assumptions'!D44)</x:f>
        <x:v>0.33062499999999995</x:v>
      </x:c>
      <x:c r="E10" s="177" t="n">
        <x:f>D10*(1+'Assumptions'!E44)</x:f>
        <x:v>0.3802187499999999</x:v>
      </x:c>
      <x:c r="F10" s="177" t="n">
        <x:f>E10*(1+'Assumptions'!F44)</x:f>
        <x:v>0.4258449999999999</x:v>
      </x:c>
      <x:c r="G10" s="177" t="n">
        <x:f>F10*(1+'Assumptions'!G44)</x:f>
        <x:v>0.47694639999999994</x:v>
      </x:c>
      <x:c r="H10" s="177" t="n">
        <x:f>G10*(1+'Assumptions'!H44)</x:f>
        <x:v>0.52464104</x:v>
      </x:c>
      <x:c r="I10" s="177" t="n">
        <x:f>H10*(1+'Assumptions'!I44)</x:f>
        <x:v>0.577105144</x:v>
      </x:c>
      <x:c r="J10" s="177" t="n">
        <x:f>I10*(1+'Assumptions'!J44)</x:f>
        <x:v>0.6348156584000001</x:v>
      </x:c>
      <x:c r="K10" s="177" t="n">
        <x:f>J10*(1+'Assumptions'!K44)</x:f>
        <x:v>0.6856009110720002</x:v>
      </x:c>
      <x:c r="L10" s="177" t="n">
        <x:f>K10*(1+'Assumptions'!L44)</x:f>
        <x:v>0.7404489839577603</x:v>
      </x:c>
      <x:c r="M10" s="177" t="n">
        <x:f>L10*(1+'Assumptions'!M44)</x:f>
        <x:v>0.7996849026743812</x:v>
      </x:c>
      <x:c r="N10" s="177" t="n">
        <x:f>M10*(1+'Assumptions'!N44)</x:f>
        <x:v>0.8556628458615879</x:v>
      </x:c>
      <x:c r="O10" s="177" t="n">
        <x:f>N10*(1+'Assumptions'!O44)</x:f>
        <x:v>0.9155592450718991</x:v>
      </x:c>
      <x:c r="P10" s="177" t="n">
        <x:f>O10*(1+'Assumptions'!P44)</x:f>
        <x:v>0.9796483922269321</x:v>
      </x:c>
      <x:c r="Q10" s="177" t="n">
        <x:f>P10*(1+'Assumptions'!Q44)</x:f>
        <x:v>1.038427295760548</x:v>
      </x:c>
      <x:c r="R10" s="177" t="n">
        <x:f>Q10*(1+'Assumptions'!R44)</x:f>
        <x:v>1.100732933506181</x:v>
      </x:c>
      <x:c r="S10" s="177" t="n">
        <x:f>R10*(1+'Assumptions'!S44)</x:f>
        <x:v>1.1557695801814902</x:v>
      </x:c>
      <x:c r="T10" s="177" t="n">
        <x:f>S10*(1+'Assumptions'!T44)</x:f>
        <x:v>1.2135580591905648</x:v>
      </x:c>
      <x:c r="U10" s="177" t="n">
        <x:f>T10*(1+'Assumptions'!U44)</x:f>
        <x:v>1.2742359621500932</x:v>
      </x:c>
    </x:row>
    <x:row r="11">
      <x:c r="A11" s="163" t="str">
        <x:v>Financial / alt-data revenue ($mm)</x:v>
      </x:c>
      <x:c r="B11" s="177" t="n">
        <x:f>B9*B10</x:f>
        <x:v>1.25</x:v>
      </x:c>
      <x:c r="C11" s="177" t="n">
        <x:f>C9*C10</x:f>
        <x:v>2.875</x:v>
      </x:c>
      <x:c r="D11" s="177" t="n">
        <x:f>D9*D10</x:f>
        <x:v>5.951249999999999</x:v>
      </x:c>
      <x:c r="E11" s="177" t="n">
        <x:f>E9*E10</x:f>
        <x:v>11.786781249999997</x:v>
      </x:c>
      <x:c r="F11" s="177" t="n">
        <x:f>F9*F10</x:f>
        <x:v>21.292249999999996</x:v>
      </x:c>
      <x:c r="G11" s="177" t="n">
        <x:f>G9*G10</x:f>
        <x:v>35.770979999999994</x:v>
      </x:c>
      <x:c r="H11" s="177" t="n">
        <x:f>H9*H10</x:f>
        <x:v>57.18587336</x:v>
      </x:c>
      <x:c r="I11" s="177" t="n">
        <x:f>I9*I10</x:f>
        <x:v>88.29708703200001</x:v>
      </x:c>
      <x:c r="J11" s="177" t="n">
        <x:f>J9*J10</x:f>
        <x:v>131.40684128880002</x:v>
      </x:c>
      <x:c r="K11" s="177" t="n">
        <x:f>K9*K10</x:f>
        <x:v>184.42664507836804</x:v>
      </x:c>
      <x:c r="L11" s="177" t="n">
        <x:f>L9*L10</x:f>
        <x:v>248.79085860980746</x:v>
      </x:c>
      <x:c r="M11" s="177" t="n">
        <x:f>M9*M10</x:f>
        <x:v>327.8708100964963</x:v>
      </x:c>
      <x:c r="N11" s="177" t="n">
        <x:f>N9*N10</x:f>
        <x:v>420.98612016390126</x:v>
      </x:c>
      <x:c r="O11" s="177" t="n">
        <x:f>O9*O10</x:f>
        <x:v>531.9399213867733</x:v>
      </x:c>
      <x:c r="P11" s="177" t="n">
        <x:f>P9*P10</x:f>
        <x:v>660.2830163609523</x:v>
      </x:c>
      <x:c r="Q11" s="177" t="n">
        <x:f>Q9*Q10</x:f>
        <x:v>797.5121631441009</x:v>
      </x:c>
      <x:c r="R11" s="177" t="n">
        <x:f>R9*R10</x:f>
        <x:v>880.5863468049448</x:v>
      </x:c>
      <x:c r="S11" s="177" t="n">
        <x:f>S9*S10</x:f>
        <x:v>924.6156641451922</x:v>
      </x:c>
      <x:c r="T11" s="177" t="n">
        <x:f>T9*T10</x:f>
        <x:v>970.8464473524518</x:v>
      </x:c>
      <x:c r="U11" s="177" t="n">
        <x:f>U9*U10</x:f>
        <x:v>1019.3887697200745</x:v>
      </x:c>
    </x:row>
    <x:row r="12">
      <x:c r="A12" s="163"/>
      <x:c r="B12" s="178"/>
      <x:c r="C12" s="178"/>
      <x:c r="D12" s="178"/>
      <x:c r="E12" s="178"/>
      <x:c r="F12" s="178"/>
      <x:c r="G12" s="178"/>
      <x:c r="H12" s="178"/>
      <x:c r="I12" s="178"/>
      <x:c r="J12" s="178"/>
      <x:c r="K12" s="178"/>
      <x:c r="L12" s="178"/>
      <x:c r="M12" s="178"/>
      <x:c r="N12" s="178"/>
      <x:c r="O12" s="178"/>
      <x:c r="P12" s="178"/>
      <x:c r="Q12" s="178"/>
      <x:c r="R12" s="178"/>
      <x:c r="S12" s="178"/>
      <x:c r="T12" s="178"/>
      <x:c r="U12" s="178"/>
    </x:row>
    <x:row r="13" ht="20" customHeight="1">
      <x:c r="A13" s="176" t="str">
        <x:v>Biotech / Research Data</x:v>
      </x:c>
      <x:c r="B13" s="179"/>
      <x:c r="C13" s="179"/>
      <x:c r="D13" s="179"/>
      <x:c r="E13" s="179"/>
      <x:c r="F13" s="179"/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</x:row>
    <x:row r="14">
      <x:c r="A14" s="163" t="str">
        <x:v>Clients</x:v>
      </x:c>
      <x:c r="B14" s="168" t="n">
        <x:f>'Operating Build'!B15</x:f>
        <x:v>3</x:v>
      </x:c>
      <x:c r="C14" s="168" t="n">
        <x:f>'Operating Build'!C15</x:f>
        <x:v>7</x:v>
      </x:c>
      <x:c r="D14" s="168" t="n">
        <x:f>'Operating Build'!D15</x:f>
        <x:v>14</x:v>
      </x:c>
      <x:c r="E14" s="168" t="n">
        <x:f>'Operating Build'!E15</x:f>
        <x:v>25</x:v>
      </x:c>
      <x:c r="F14" s="168" t="n">
        <x:f>'Operating Build'!F15</x:f>
        <x:v>41</x:v>
      </x:c>
      <x:c r="G14" s="168" t="n">
        <x:f>'Operating Build'!G15</x:f>
        <x:v>64</x:v>
      </x:c>
      <x:c r="H14" s="168" t="n">
        <x:f>'Operating Build'!H15</x:f>
        <x:v>93</x:v>
      </x:c>
      <x:c r="I14" s="168" t="n">
        <x:f>'Operating Build'!I15</x:f>
        <x:v>130</x:v>
      </x:c>
      <x:c r="J14" s="168" t="n">
        <x:f>'Operating Build'!J15</x:f>
        <x:v>176</x:v>
      </x:c>
      <x:c r="K14" s="168" t="n">
        <x:f>'Operating Build'!K15</x:f>
        <x:v>229</x:v>
      </x:c>
      <x:c r="L14" s="168" t="n">
        <x:f>'Operating Build'!L15</x:f>
        <x:v>286</x:v>
      </x:c>
      <x:c r="M14" s="168" t="n">
        <x:f>'Operating Build'!M15</x:f>
        <x:v>349</x:v>
      </x:c>
      <x:c r="N14" s="168" t="n">
        <x:f>'Operating Build'!N15</x:f>
        <x:v>419</x:v>
      </x:c>
      <x:c r="O14" s="168" t="n">
        <x:f>'Operating Build'!O15</x:f>
        <x:v>494</x:v>
      </x:c>
      <x:c r="P14" s="168" t="n">
        <x:f>'Operating Build'!P15</x:f>
        <x:v>573</x:v>
      </x:c>
      <x:c r="Q14" s="168" t="n">
        <x:f>'Operating Build'!Q15</x:f>
        <x:v>600</x:v>
      </x:c>
      <x:c r="R14" s="168" t="n">
        <x:f>'Operating Build'!R15</x:f>
        <x:v>600</x:v>
      </x:c>
      <x:c r="S14" s="168" t="n">
        <x:f>'Operating Build'!S15</x:f>
        <x:v>600</x:v>
      </x:c>
      <x:c r="T14" s="168" t="n">
        <x:f>'Operating Build'!T15</x:f>
        <x:v>600</x:v>
      </x:c>
      <x:c r="U14" s="168" t="n">
        <x:f>'Operating Build'!U15</x:f>
        <x:v>600</x:v>
      </x:c>
    </x:row>
    <x:row r="15">
      <x:c r="A15" s="163" t="str">
        <x:v>Average contract value ($mm)</x:v>
      </x:c>
      <x:c r="B15" s="177" t="n">
        <x:f>'Assumptions'!B32</x:f>
        <x:v>0.35</x:v>
      </x:c>
      <x:c r="C15" s="177" t="n">
        <x:f>B15*(1+'Assumptions'!C46)</x:f>
        <x:v>0.40249999999999997</x:v>
      </x:c>
      <x:c r="D15" s="177" t="n">
        <x:f>C15*(1+'Assumptions'!D46)</x:f>
        <x:v>0.4628749999999999</x:v>
      </x:c>
      <x:c r="E15" s="177" t="n">
        <x:f>D15*(1+'Assumptions'!E46)</x:f>
        <x:v>0.5323062499999999</x:v>
      </x:c>
      <x:c r="F15" s="177" t="n">
        <x:f>E15*(1+'Assumptions'!F46)</x:f>
        <x:v>0.5961829999999999</x:v>
      </x:c>
      <x:c r="G15" s="177" t="n">
        <x:f>F15*(1+'Assumptions'!G46)</x:f>
        <x:v>0.6677249599999999</x:v>
      </x:c>
      <x:c r="H15" s="177" t="n">
        <x:f>G15*(1+'Assumptions'!H46)</x:f>
        <x:v>0.7344974559999999</x:v>
      </x:c>
      <x:c r="I15" s="177" t="n">
        <x:f>H15*(1+'Assumptions'!I46)</x:f>
        <x:v>0.8079472016</x:v>
      </x:c>
      <x:c r="J15" s="177" t="n">
        <x:f>I15*(1+'Assumptions'!J46)</x:f>
        <x:v>0.8887419217600001</x:v>
      </x:c>
      <x:c r="K15" s="177" t="n">
        <x:f>J15*(1+'Assumptions'!K46)</x:f>
        <x:v>0.9598412755008002</x:v>
      </x:c>
      <x:c r="L15" s="177" t="n">
        <x:f>K15*(1+'Assumptions'!L46)</x:f>
        <x:v>1.0366285775408643</x:v>
      </x:c>
      <x:c r="M15" s="177" t="n">
        <x:f>L15*(1+'Assumptions'!M46)</x:f>
        <x:v>1.1195588637441336</x:v>
      </x:c>
      <x:c r="N15" s="177" t="n">
        <x:f>M15*(1+'Assumptions'!N46)</x:f>
        <x:v>1.197927984206223</x:v>
      </x:c>
      <x:c r="O15" s="177" t="n">
        <x:f>N15*(1+'Assumptions'!O46)</x:f>
        <x:v>1.2817829431006587</x:v>
      </x:c>
      <x:c r="P15" s="177" t="n">
        <x:f>O15*(1+'Assumptions'!P46)</x:f>
        <x:v>1.3715077491177048</x:v>
      </x:c>
      <x:c r="Q15" s="177" t="n">
        <x:f>P15*(1+'Assumptions'!Q46)</x:f>
        <x:v>1.4537982140647672</x:v>
      </x:c>
      <x:c r="R15" s="177" t="n">
        <x:f>Q15*(1+'Assumptions'!R46)</x:f>
        <x:v>1.5410261069086533</x:v>
      </x:c>
      <x:c r="S15" s="177" t="n">
        <x:f>R15*(1+'Assumptions'!S46)</x:f>
        <x:v>1.618077412254086</x:v>
      </x:c>
      <x:c r="T15" s="177" t="n">
        <x:f>S15*(1+'Assumptions'!T46)</x:f>
        <x:v>1.6989812828667903</x:v>
      </x:c>
      <x:c r="U15" s="177" t="n">
        <x:f>T15*(1+'Assumptions'!U46)</x:f>
        <x:v>1.78393034701013</x:v>
      </x:c>
    </x:row>
    <x:row r="16">
      <x:c r="A16" s="163" t="str">
        <x:v>Biotech / research revenue ($mm)</x:v>
      </x:c>
      <x:c r="B16" s="177" t="n">
        <x:f>B14*B15</x:f>
        <x:v>1.0499999999999998</x:v>
      </x:c>
      <x:c r="C16" s="177" t="n">
        <x:f>C14*C15</x:f>
        <x:v>2.8175</x:v>
      </x:c>
      <x:c r="D16" s="177" t="n">
        <x:f>D14*D15</x:f>
        <x:v>6.480249999999999</x:v>
      </x:c>
      <x:c r="E16" s="177" t="n">
        <x:f>E14*E15</x:f>
        <x:v>13.307656249999997</x:v>
      </x:c>
      <x:c r="F16" s="177" t="n">
        <x:f>F14*F15</x:f>
        <x:v>24.443502999999996</x:v>
      </x:c>
      <x:c r="G16" s="177" t="n">
        <x:f>G14*G15</x:f>
        <x:v>42.734397439999995</x:v>
      </x:c>
      <x:c r="H16" s="177" t="n">
        <x:f>H14*H15</x:f>
        <x:v>68.30826340799999</x:v>
      </x:c>
      <x:c r="I16" s="177" t="n">
        <x:f>I14*I15</x:f>
        <x:v>105.033136208</x:v>
      </x:c>
      <x:c r="J16" s="177" t="n">
        <x:f>J14*J15</x:f>
        <x:v>156.41857822976002</x:v>
      </x:c>
      <x:c r="K16" s="177" t="n">
        <x:f>K14*K15</x:f>
        <x:v>219.80365208968325</x:v>
      </x:c>
      <x:c r="L16" s="177" t="n">
        <x:f>L14*L15</x:f>
        <x:v>296.4757731766872</x:v>
      </x:c>
      <x:c r="M16" s="177" t="n">
        <x:f>M14*M15</x:f>
        <x:v>390.72604344670265</x:v>
      </x:c>
      <x:c r="N16" s="177" t="n">
        <x:f>N14*N15</x:f>
        <x:v>501.9318253824074</x:v>
      </x:c>
      <x:c r="O16" s="177" t="n">
        <x:f>O14*O15</x:f>
        <x:v>633.2007738917254</x:v>
      </x:c>
      <x:c r="P16" s="177" t="n">
        <x:f>P14*P15</x:f>
        <x:v>785.8739402444448</x:v>
      </x:c>
      <x:c r="Q16" s="177" t="n">
        <x:f>Q14*Q15</x:f>
        <x:v>872.2789284388602</x:v>
      </x:c>
      <x:c r="R16" s="177" t="n">
        <x:f>R14*R15</x:f>
        <x:v>924.615664145192</x:v>
      </x:c>
      <x:c r="S16" s="177" t="n">
        <x:f>S14*S15</x:f>
        <x:v>970.8464473524516</x:v>
      </x:c>
      <x:c r="T16" s="177" t="n">
        <x:f>T14*T15</x:f>
        <x:v>1019.3887697200742</x:v>
      </x:c>
      <x:c r="U16" s="177" t="n">
        <x:f>U14*U15</x:f>
        <x:v>1070.358208206078</x:v>
      </x:c>
    </x:row>
    <x:row r="17">
      <x:c r="A17" s="163"/>
      <x:c r="B17" s="178"/>
      <x:c r="C17" s="178"/>
      <x:c r="D17" s="178"/>
      <x:c r="E17" s="178"/>
      <x:c r="F17" s="178"/>
      <x:c r="G17" s="178"/>
      <x:c r="H17" s="178"/>
      <x:c r="I17" s="178"/>
      <x:c r="J17" s="178"/>
      <x:c r="K17" s="178"/>
      <x:c r="L17" s="178"/>
      <x:c r="M17" s="178"/>
      <x:c r="N17" s="178"/>
      <x:c r="O17" s="178"/>
      <x:c r="P17" s="178"/>
      <x:c r="Q17" s="178"/>
      <x:c r="R17" s="178"/>
      <x:c r="S17" s="178"/>
      <x:c r="T17" s="178"/>
      <x:c r="U17" s="178"/>
    </x:row>
    <x:row r="18" ht="20" customHeight="1">
      <x:c r="A18" s="176" t="str">
        <x:v>Government / Public Health</x:v>
      </x:c>
      <x:c r="B18" s="179"/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</x:row>
    <x:row r="19">
      <x:c r="A19" s="163" t="str">
        <x:v>Clients</x:v>
      </x:c>
      <x:c r="B19" s="168" t="n">
        <x:f>'Operating Build'!B16</x:f>
        <x:v>5</x:v>
      </x:c>
      <x:c r="C19" s="168" t="n">
        <x:f>'Operating Build'!C16</x:f>
        <x:v>13</x:v>
      </x:c>
      <x:c r="D19" s="168" t="n">
        <x:f>'Operating Build'!D16</x:f>
        <x:v>29</x:v>
      </x:c>
      <x:c r="E19" s="168" t="n">
        <x:f>'Operating Build'!E16</x:f>
        <x:v>58</x:v>
      </x:c>
      <x:c r="F19" s="168" t="n">
        <x:f>'Operating Build'!F16</x:f>
        <x:v>104</x:v>
      </x:c>
      <x:c r="G19" s="168" t="n">
        <x:f>'Operating Build'!G16</x:f>
        <x:v>172</x:v>
      </x:c>
      <x:c r="H19" s="168" t="n">
        <x:f>'Operating Build'!H16</x:f>
        <x:v>267</x:v>
      </x:c>
      <x:c r="I19" s="168" t="n">
        <x:f>'Operating Build'!I16</x:f>
        <x:v>401</x:v>
      </x:c>
      <x:c r="J19" s="168" t="n">
        <x:f>'Operating Build'!J16</x:f>
        <x:v>581</x:v>
      </x:c>
      <x:c r="K19" s="168" t="n">
        <x:f>'Operating Build'!K16</x:f>
        <x:v>813</x:v>
      </x:c>
      <x:c r="L19" s="168" t="n">
        <x:f>'Operating Build'!L16</x:f>
        <x:v>1098</x:v>
      </x:c>
      <x:c r="M19" s="168" t="n">
        <x:f>'Operating Build'!M16</x:f>
        <x:v>1427</x:v>
      </x:c>
      <x:c r="N19" s="168" t="n">
        <x:f>'Operating Build'!N16</x:f>
        <x:v>1500</x:v>
      </x:c>
      <x:c r="O19" s="168" t="n">
        <x:f>'Operating Build'!O16</x:f>
        <x:v>1500</x:v>
      </x:c>
      <x:c r="P19" s="168" t="n">
        <x:f>'Operating Build'!P16</x:f>
        <x:v>1500</x:v>
      </x:c>
      <x:c r="Q19" s="168" t="n">
        <x:f>'Operating Build'!Q16</x:f>
        <x:v>1500</x:v>
      </x:c>
      <x:c r="R19" s="168" t="n">
        <x:f>'Operating Build'!R16</x:f>
        <x:v>1500</x:v>
      </x:c>
      <x:c r="S19" s="168" t="n">
        <x:f>'Operating Build'!S16</x:f>
        <x:v>1500</x:v>
      </x:c>
      <x:c r="T19" s="168" t="n">
        <x:f>'Operating Build'!T16</x:f>
        <x:v>1500</x:v>
      </x:c>
      <x:c r="U19" s="168" t="n">
        <x:f>'Operating Build'!U16</x:f>
        <x:v>1500</x:v>
      </x:c>
    </x:row>
    <x:row r="20">
      <x:c r="A20" s="163" t="str">
        <x:v>Commercial-equivalent ACV ($mm)</x:v>
      </x:c>
      <x:c r="B20" s="177" t="n">
        <x:f>B15</x:f>
        <x:v>0.35</x:v>
      </x:c>
      <x:c r="C20" s="177" t="n">
        <x:f>C15</x:f>
        <x:v>0.40249999999999997</x:v>
      </x:c>
      <x:c r="D20" s="177" t="n">
        <x:f>D15</x:f>
        <x:v>0.4628749999999999</x:v>
      </x:c>
      <x:c r="E20" s="177" t="n">
        <x:f>E15</x:f>
        <x:v>0.5323062499999999</x:v>
      </x:c>
      <x:c r="F20" s="177" t="n">
        <x:f>F15</x:f>
        <x:v>0.5961829999999999</x:v>
      </x:c>
      <x:c r="G20" s="177" t="n">
        <x:f>G15</x:f>
        <x:v>0.6677249599999999</x:v>
      </x:c>
      <x:c r="H20" s="177" t="n">
        <x:f>H15</x:f>
        <x:v>0.7344974559999999</x:v>
      </x:c>
      <x:c r="I20" s="177" t="n">
        <x:f>I15</x:f>
        <x:v>0.8079472016</x:v>
      </x:c>
      <x:c r="J20" s="177" t="n">
        <x:f>J15</x:f>
        <x:v>0.8887419217600001</x:v>
      </x:c>
      <x:c r="K20" s="177" t="n">
        <x:f>K15</x:f>
        <x:v>0.9598412755008002</x:v>
      </x:c>
      <x:c r="L20" s="177" t="n">
        <x:f>L15</x:f>
        <x:v>1.0366285775408643</x:v>
      </x:c>
      <x:c r="M20" s="177" t="n">
        <x:f>M15</x:f>
        <x:v>1.1195588637441336</x:v>
      </x:c>
      <x:c r="N20" s="177" t="n">
        <x:f>N15</x:f>
        <x:v>1.197927984206223</x:v>
      </x:c>
      <x:c r="O20" s="177" t="n">
        <x:f>O15</x:f>
        <x:v>1.2817829431006587</x:v>
      </x:c>
      <x:c r="P20" s="177" t="n">
        <x:f>P15</x:f>
        <x:v>1.3715077491177048</x:v>
      </x:c>
      <x:c r="Q20" s="177" t="n">
        <x:f>Q15</x:f>
        <x:v>1.4537982140647672</x:v>
      </x:c>
      <x:c r="R20" s="177" t="n">
        <x:f>R15</x:f>
        <x:v>1.5410261069086533</x:v>
      </x:c>
      <x:c r="S20" s="177" t="n">
        <x:f>S15</x:f>
        <x:v>1.618077412254086</x:v>
      </x:c>
      <x:c r="T20" s="177" t="n">
        <x:f>T15</x:f>
        <x:v>1.6989812828667903</x:v>
      </x:c>
      <x:c r="U20" s="177" t="n">
        <x:f>U15</x:f>
        <x:v>1.78393034701013</x:v>
      </x:c>
    </x:row>
    <x:row r="21">
      <x:c r="A21" s="163" t="str">
        <x:v>Goodwill discount</x:v>
      </x:c>
      <x:c r="B21" s="167" t="n">
        <x:f>'Assumptions'!B12</x:f>
        <x:v>0.65</x:v>
      </x:c>
      <x:c r="C21" s="167" t="n">
        <x:f>'Assumptions'!B12</x:f>
        <x:v>0.65</x:v>
      </x:c>
      <x:c r="D21" s="167" t="n">
        <x:f>'Assumptions'!B12</x:f>
        <x:v>0.65</x:v>
      </x:c>
      <x:c r="E21" s="167" t="n">
        <x:f>'Assumptions'!B12</x:f>
        <x:v>0.65</x:v>
      </x:c>
      <x:c r="F21" s="167" t="n">
        <x:f>'Assumptions'!B12</x:f>
        <x:v>0.65</x:v>
      </x:c>
      <x:c r="G21" s="167" t="n">
        <x:f>'Assumptions'!B12</x:f>
        <x:v>0.65</x:v>
      </x:c>
      <x:c r="H21" s="167" t="n">
        <x:f>'Assumptions'!B12</x:f>
        <x:v>0.65</x:v>
      </x:c>
      <x:c r="I21" s="167" t="n">
        <x:f>'Assumptions'!B12</x:f>
        <x:v>0.65</x:v>
      </x:c>
      <x:c r="J21" s="167" t="n">
        <x:f>'Assumptions'!B12</x:f>
        <x:v>0.65</x:v>
      </x:c>
      <x:c r="K21" s="167" t="n">
        <x:f>'Assumptions'!B12</x:f>
        <x:v>0.65</x:v>
      </x:c>
      <x:c r="L21" s="167" t="n">
        <x:f>'Assumptions'!B12</x:f>
        <x:v>0.65</x:v>
      </x:c>
      <x:c r="M21" s="167" t="n">
        <x:f>'Assumptions'!B12</x:f>
        <x:v>0.65</x:v>
      </x:c>
      <x:c r="N21" s="167" t="n">
        <x:f>'Assumptions'!B12</x:f>
        <x:v>0.65</x:v>
      </x:c>
      <x:c r="O21" s="167" t="n">
        <x:f>'Assumptions'!B12</x:f>
        <x:v>0.65</x:v>
      </x:c>
      <x:c r="P21" s="167" t="n">
        <x:f>'Assumptions'!B12</x:f>
        <x:v>0.65</x:v>
      </x:c>
      <x:c r="Q21" s="167" t="n">
        <x:f>'Assumptions'!B12</x:f>
        <x:v>0.65</x:v>
      </x:c>
      <x:c r="R21" s="167" t="n">
        <x:f>'Assumptions'!B12</x:f>
        <x:v>0.65</x:v>
      </x:c>
      <x:c r="S21" s="167" t="n">
        <x:f>'Assumptions'!B12</x:f>
        <x:v>0.65</x:v>
      </x:c>
      <x:c r="T21" s="167" t="n">
        <x:f>'Assumptions'!B12</x:f>
        <x:v>0.65</x:v>
      </x:c>
      <x:c r="U21" s="167" t="n">
        <x:f>'Assumptions'!B12</x:f>
        <x:v>0.65</x:v>
      </x:c>
    </x:row>
    <x:row r="22">
      <x:c r="A22" s="163" t="str">
        <x:v>Government / public-health revenue ($mm)</x:v>
      </x:c>
      <x:c r="B22" s="177" t="n">
        <x:f>B19*B20*(1-B21)</x:f>
        <x:v>0.6124999999999999</x:v>
      </x:c>
      <x:c r="C22" s="177" t="n">
        <x:f>C19*C20*(1-C21)</x:f>
        <x:v>1.8313749999999998</x:v>
      </x:c>
      <x:c r="D22" s="177" t="n">
        <x:f>D19*D20*(1-D21)</x:f>
        <x:v>4.698181249999999</x:v>
      </x:c>
      <x:c r="E22" s="177" t="n">
        <x:f>E19*E20*(1-E21)</x:f>
        <x:v>10.805816874999996</x:v>
      </x:c>
      <x:c r="F22" s="177" t="n">
        <x:f>F19*F20*(1-F21)</x:f>
        <x:v>21.701061199999994</x:v>
      </x:c>
      <x:c r="G22" s="177" t="n">
        <x:f>G19*G20*(1-G21)</x:f>
        <x:v>40.197042591999995</x:v>
      </x:c>
      <x:c r="H22" s="177" t="n">
        <x:f>H19*H20*(1-H21)</x:f>
        <x:v>68.63878726319999</x:v>
      </x:c>
      <x:c r="I22" s="177" t="n">
        <x:f>I19*I20*(1-I21)</x:f>
        <x:v>113.39538974455999</x:v>
      </x:c>
      <x:c r="J22" s="177" t="n">
        <x:f>J19*J20*(1-J21)</x:f>
        <x:v>180.72566978989602</x:v>
      </x:c>
      <x:c r="K22" s="177" t="n">
        <x:f>K19*K20*(1-K21)</x:f>
        <x:v>273.1228349437527</x:v>
      </x:c>
      <x:c r="L22" s="177" t="n">
        <x:f>L19*L20*(1-L21)</x:f>
        <x:v>398.3763623489541</x:v>
      </x:c>
      <x:c r="M22" s="177" t="n">
        <x:f>M19*M20*(1-M21)</x:f>
        <x:v>559.1636744970075</x:v>
      </x:c>
      <x:c r="N22" s="177" t="n">
        <x:f>N19*N20*(1-N21)</x:f>
        <x:v>628.9121917082671</x:v>
      </x:c>
      <x:c r="O22" s="177" t="n">
        <x:f>O19*O20*(1-O21)</x:f>
        <x:v>672.9360451278458</x:v>
      </x:c>
      <x:c r="P22" s="177" t="n">
        <x:f>P19*P20*(1-P21)</x:f>
        <x:v>720.0415682867949</x:v>
      </x:c>
      <x:c r="Q22" s="177" t="n">
        <x:f>Q19*Q20*(1-Q21)</x:f>
        <x:v>763.2440623840027</x:v>
      </x:c>
      <x:c r="R22" s="177" t="n">
        <x:f>R19*R20*(1-R21)</x:f>
        <x:v>809.0387061270429</x:v>
      </x:c>
      <x:c r="S22" s="177" t="n">
        <x:f>S19*S20*(1-S21)</x:f>
        <x:v>849.4906414333951</x:v>
      </x:c>
      <x:c r="T22" s="177" t="n">
        <x:f>T19*T20*(1-T21)</x:f>
        <x:v>891.9651735050649</x:v>
      </x:c>
      <x:c r="U22" s="177" t="n">
        <x:f>U19*U20*(1-U21)</x:f>
        <x:v>936.5634321803183</x:v>
      </x:c>
    </x:row>
    <x:row r="23">
      <x:c r="A23" s="163"/>
      <x:c r="B23" s="178"/>
      <x:c r="C23" s="178"/>
      <x:c r="D23" s="178"/>
      <x:c r="E23" s="178"/>
      <x:c r="F23" s="178"/>
      <x:c r="G23" s="178"/>
      <x:c r="H23" s="178"/>
      <x:c r="I23" s="178"/>
      <x:c r="J23" s="178"/>
      <x:c r="K23" s="178"/>
      <x:c r="L23" s="178"/>
      <x:c r="M23" s="178"/>
      <x:c r="N23" s="178"/>
      <x:c r="O23" s="178"/>
      <x:c r="P23" s="178"/>
      <x:c r="Q23" s="178"/>
      <x:c r="R23" s="178"/>
      <x:c r="S23" s="178"/>
      <x:c r="T23" s="178"/>
      <x:c r="U23" s="178"/>
    </x:row>
    <x:row r="24" ht="20" customHeight="1">
      <x:c r="A24" s="176" t="str">
        <x:v>Toilet-Paper Advertising</x:v>
      </x:c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</x:row>
    <x:row r="25">
      <x:c r="A25" s="163" t="str">
        <x:v>Ad impressions (mm)</x:v>
      </x:c>
      <x:c r="B25" s="166" t="n">
        <x:f>'Operating Build'!B18</x:f>
        <x:v>0.39</x:v>
      </x:c>
      <x:c r="C25" s="166" t="n">
        <x:f>'Operating Build'!C18</x:f>
        <x:v>1.7062500000000003</x:v>
      </x:c>
      <x:c r="D25" s="166" t="n">
        <x:f>'Operating Build'!D18</x:f>
        <x:v>6.142500000000001</x:v>
      </x:c>
      <x:c r="E25" s="166" t="n">
        <x:f>'Operating Build'!E18</x:f>
        <x:v>17.915625</x:v>
      </x:c>
      <x:c r="F25" s="166" t="n">
        <x:f>'Operating Build'!F18</x:f>
        <x:v>40.95</x:v>
      </x:c>
      <x:c r="G25" s="166" t="n">
        <x:f>'Operating Build'!G18</x:f>
        <x:v>80.62031250000001</x:v>
      </x:c>
      <x:c r="H25" s="166" t="n">
        <x:f>'Operating Build'!H18</x:f>
        <x:v>143.325</x:v>
      </x:c>
      <x:c r="I25" s="166" t="n">
        <x:f>'Operating Build'!I18</x:f>
        <x:v>236.48624999999998</x:v>
      </x:c>
      <x:c r="J25" s="166" t="n">
        <x:f>'Operating Build'!J18</x:f>
        <x:v>361.179</x:v>
      </x:c>
      <x:c r="K25" s="166" t="n">
        <x:f>'Operating Build'!K18</x:f>
        <x:v>528.2242875000001</x:v>
      </x:c>
      <x:c r="L25" s="166" t="n">
        <x:f>'Operating Build'!L18</x:f>
        <x:v>739.5140025000001</x:v>
      </x:c>
      <x:c r="M25" s="166" t="n">
        <x:f>'Operating Build'!M18</x:f>
        <x:v>990.4205390625</x:v>
      </x:c>
      <x:c r="N25" s="166" t="n">
        <x:f>'Operating Build'!N18</x:f>
        <x:v>1288.8672615</x:v>
      </x:c>
      <x:c r="O25" s="166" t="n">
        <x:f>'Operating Build'!O18</x:f>
        <x:v>1643.3057584125002</x:v>
      </x:c>
      <x:c r="P25" s="166" t="n">
        <x:f>'Operating Build'!P18</x:f>
        <x:v>2053.1655475695006</x:v>
      </x:c>
      <x:c r="Q25" s="166" t="n">
        <x:f>'Operating Build'!Q18</x:f>
        <x:v>2513.98714824621</x:v>
      </x:c>
      <x:c r="R25" s="166" t="n">
        <x:f>'Operating Build'!R18</x:f>
        <x:v>3016.784577895453</x:v>
      </x:c>
      <x:c r="S25" s="166" t="n">
        <x:f>'Operating Build'!S18</x:f>
        <x:v>3547.7386636050524</x:v>
      </x:c>
      <x:c r="T25" s="166" t="n">
        <x:f>'Operating Build'!T18</x:f>
        <x:v>4088.346459963918</x:v>
      </x:c>
      <x:c r="U25" s="166" t="n">
        <x:f>'Operating Build'!U18</x:f>
        <x:v>4415.414176761032</x:v>
      </x:c>
    </x:row>
    <x:row r="26">
      <x:c r="A26" s="163" t="str">
        <x:v>CPM ($)</x:v>
      </x:c>
      <x:c r="B26" s="180" t="n">
        <x:f>'Assumptions'!B13</x:f>
        <x:v>25</x:v>
      </x:c>
      <x:c r="C26" s="180" t="n">
        <x:f>'Assumptions'!B13</x:f>
        <x:v>25</x:v>
      </x:c>
      <x:c r="D26" s="180" t="n">
        <x:f>'Assumptions'!B13</x:f>
        <x:v>25</x:v>
      </x:c>
      <x:c r="E26" s="180" t="n">
        <x:f>'Assumptions'!B13</x:f>
        <x:v>25</x:v>
      </x:c>
      <x:c r="F26" s="180" t="n">
        <x:f>'Assumptions'!B13</x:f>
        <x:v>25</x:v>
      </x:c>
      <x:c r="G26" s="180" t="n">
        <x:f>'Assumptions'!B13</x:f>
        <x:v>25</x:v>
      </x:c>
      <x:c r="H26" s="180" t="n">
        <x:f>'Assumptions'!B13</x:f>
        <x:v>25</x:v>
      </x:c>
      <x:c r="I26" s="180" t="n">
        <x:f>'Assumptions'!B13</x:f>
        <x:v>25</x:v>
      </x:c>
      <x:c r="J26" s="180" t="n">
        <x:f>'Assumptions'!B13</x:f>
        <x:v>25</x:v>
      </x:c>
      <x:c r="K26" s="180" t="n">
        <x:f>'Assumptions'!B13</x:f>
        <x:v>25</x:v>
      </x:c>
      <x:c r="L26" s="180" t="n">
        <x:f>'Assumptions'!B13</x:f>
        <x:v>25</x:v>
      </x:c>
      <x:c r="M26" s="180" t="n">
        <x:f>'Assumptions'!B13</x:f>
        <x:v>25</x:v>
      </x:c>
      <x:c r="N26" s="180" t="n">
        <x:f>'Assumptions'!B13</x:f>
        <x:v>25</x:v>
      </x:c>
      <x:c r="O26" s="180" t="n">
        <x:f>'Assumptions'!B13</x:f>
        <x:v>25</x:v>
      </x:c>
      <x:c r="P26" s="180" t="n">
        <x:f>'Assumptions'!B13</x:f>
        <x:v>25</x:v>
      </x:c>
      <x:c r="Q26" s="180" t="n">
        <x:f>'Assumptions'!B13</x:f>
        <x:v>25</x:v>
      </x:c>
      <x:c r="R26" s="180" t="n">
        <x:f>'Assumptions'!B13</x:f>
        <x:v>25</x:v>
      </x:c>
      <x:c r="S26" s="180" t="n">
        <x:f>'Assumptions'!B13</x:f>
        <x:v>25</x:v>
      </x:c>
      <x:c r="T26" s="180" t="n">
        <x:f>'Assumptions'!B13</x:f>
        <x:v>25</x:v>
      </x:c>
      <x:c r="U26" s="180" t="n">
        <x:f>'Assumptions'!B13</x:f>
        <x:v>25</x:v>
      </x:c>
    </x:row>
    <x:row r="27">
      <x:c r="A27" s="163" t="str">
        <x:v>Toilet-paper ad revenue ($mm)</x:v>
      </x:c>
      <x:c r="B27" s="177" t="n">
        <x:f>B25*B26/1000</x:f>
        <x:v>0.00975</x:v>
      </x:c>
      <x:c r="C27" s="177" t="n">
        <x:f>C25*C26/1000</x:f>
        <x:v>0.04265625000000001</x:v>
      </x:c>
      <x:c r="D27" s="177" t="n">
        <x:f>D25*D26/1000</x:f>
        <x:v>0.15356250000000002</x:v>
      </x:c>
      <x:c r="E27" s="177" t="n">
        <x:f>E25*E26/1000</x:f>
        <x:v>0.44789062499999993</x:v>
      </x:c>
      <x:c r="F27" s="177" t="n">
        <x:f>F25*F26/1000</x:f>
        <x:v>1.0237500000000002</x:v>
      </x:c>
      <x:c r="G27" s="177" t="n">
        <x:f>G25*G26/1000</x:f>
        <x:v>2.0155078125</x:v>
      </x:c>
      <x:c r="H27" s="177" t="n">
        <x:f>H25*H26/1000</x:f>
        <x:v>3.5831249999999994</x:v>
      </x:c>
      <x:c r="I27" s="177" t="n">
        <x:f>I25*I26/1000</x:f>
        <x:v>5.91215625</x:v>
      </x:c>
      <x:c r="J27" s="177" t="n">
        <x:f>J25*J26/1000</x:f>
        <x:v>9.029474999999998</x:v>
      </x:c>
      <x:c r="K27" s="177" t="n">
        <x:f>K25*K26/1000</x:f>
        <x:v>13.205607187500002</x:v>
      </x:c>
      <x:c r="L27" s="177" t="n">
        <x:f>L25*L26/1000</x:f>
        <x:v>18.4878500625</x:v>
      </x:c>
      <x:c r="M27" s="177" t="n">
        <x:f>M25*M26/1000</x:f>
        <x:v>24.7605134765625</x:v>
      </x:c>
      <x:c r="N27" s="177" t="n">
        <x:f>N25*N26/1000</x:f>
        <x:v>32.221681537500004</x:v>
      </x:c>
      <x:c r="O27" s="177" t="n">
        <x:f>O25*O26/1000</x:f>
        <x:v>41.0826439603125</x:v>
      </x:c>
      <x:c r="P27" s="177" t="n">
        <x:f>P25*P26/1000</x:f>
        <x:v>51.32913868923752</x:v>
      </x:c>
      <x:c r="Q27" s="177" t="n">
        <x:f>Q25*Q26/1000</x:f>
        <x:v>62.849678706155245</x:v>
      </x:c>
      <x:c r="R27" s="177" t="n">
        <x:f>R25*R26/1000</x:f>
        <x:v>75.41961444738632</x:v>
      </x:c>
      <x:c r="S27" s="177" t="n">
        <x:f>S25*S26/1000</x:f>
        <x:v>88.6934665901263</x:v>
      </x:c>
      <x:c r="T27" s="177" t="n">
        <x:f>T25*T26/1000</x:f>
        <x:v>102.20866149909794</x:v>
      </x:c>
      <x:c r="U27" s="177" t="n">
        <x:f>U25*U26/1000</x:f>
        <x:v>110.3853544190258</x:v>
      </x:c>
    </x:row>
    <x:row r="28">
      <x:c r="A28" s="163"/>
      <x:c r="B28" s="178"/>
      <x:c r="C28" s="178"/>
      <x:c r="D28" s="178"/>
      <x:c r="E28" s="178"/>
      <x:c r="F28" s="178"/>
      <x:c r="G28" s="178"/>
      <x:c r="H28" s="178"/>
      <x:c r="I28" s="178"/>
      <x:c r="J28" s="178"/>
      <x:c r="K28" s="178"/>
      <x:c r="L28" s="178"/>
      <x:c r="M28" s="178"/>
      <x:c r="N28" s="178"/>
      <x:c r="O28" s="178"/>
      <x:c r="P28" s="178"/>
      <x:c r="Q28" s="178"/>
      <x:c r="R28" s="178"/>
      <x:c r="S28" s="178"/>
      <x:c r="T28" s="178"/>
      <x:c r="U28" s="178"/>
    </x:row>
    <x:row r="29" ht="20" customHeight="1">
      <x:c r="A29" s="176" t="str">
        <x:v>Total Revenue</x:v>
      </x:c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</x:row>
    <x:row r="30">
      <x:c r="A30" s="181" t="str">
        <x:v>Total revenue ($mm)</x:v>
      </x:c>
      <x:c r="B30" s="182" t="n">
        <x:f>SUM(B6,B11,B16,B22,B27)</x:f>
        <x:v>3.1222499999999997</x:v>
      </x:c>
      <x:c r="C30" s="182" t="n">
        <x:f>SUM(C6,C11,C16,C22,C27)</x:f>
        <x:v>8.26653125</x:v>
      </x:c>
      <x:c r="D30" s="182" t="n">
        <x:f>SUM(D6,D11,D16,D22,D27)</x:f>
        <x:v>19.38324375</x:v>
      </x:c>
      <x:c r="E30" s="182" t="n">
        <x:f>SUM(E6,E11,E16,E22,E27)</x:f>
        <x:v>41.59814499999999</x:v>
      </x:c>
      <x:c r="F30" s="182" t="n">
        <x:f>SUM(F6,F11,F16,F22,F27)</x:f>
        <x:v>78.9605642</x:v>
      </x:c>
      <x:c r="G30" s="182" t="n">
        <x:f>SUM(G6,G11,G16,G22,G27)</x:f>
        <x:v>139.0929278445</x:v>
      </x:c>
      <x:c r="H30" s="182" t="n">
        <x:f>SUM(H6,H11,H16,H22,H27)</x:f>
        <x:v>227.1160490312</x:v>
      </x:c>
      <x:c r="I30" s="182" t="n">
        <x:f>SUM(I6,I11,I16,I22,I27)</x:f>
        <x:v>356.73776923456</x:v>
      </x:c>
      <x:c r="J30" s="182" t="n">
        <x:f>SUM(J6,J11,J16,J22,J27)</x:f>
        <x:v>539.3205643084561</x:v>
      </x:c>
      <x:c r="K30" s="182" t="n">
        <x:f>SUM(K6,K11,K16,K22,K27)</x:f>
        <x:v>773.9077392993041</x:v>
      </x:c>
      <x:c r="L30" s="182" t="n">
        <x:f>SUM(L6,L11,L16,L22,L27)</x:f>
        <x:v>1070.4845441979487</x:v>
      </x:c>
      <x:c r="M30" s="182" t="n">
        <x:f>SUM(M6,M11,M16,M22,M27)</x:f>
        <x:v>1437.9631665167688</x:v>
      </x:c>
      <x:c r="N30" s="182" t="n">
        <x:f>SUM(N6,N11,N16,N22,N27)</x:f>
        <x:v>1749.2912112920758</x:v>
      </x:c>
      <x:c r="O30" s="182" t="n">
        <x:f>SUM(O6,O11,O16,O22,O27)</x:f>
        <x:v>2077.446655366657</x:v>
      </x:c>
      <x:c r="P30" s="182" t="n">
        <x:f>SUM(P6,P11,P16,P22,P27)</x:f>
        <x:v>2451.5066433614297</x:v>
      </x:c>
      <x:c r="Q30" s="182" t="n">
        <x:f>SUM(Q6,Q11,Q16,Q22,Q27)</x:f>
        <x:v>2767.3004492179193</x:v>
      </x:c>
      <x:c r="R30" s="182" t="n">
        <x:f>SUM(R6,R11,R16,R22,R27)</x:f>
        <x:v>2999.074134385638</x:v>
      </x:c>
      <x:c r="S30" s="182" t="n">
        <x:f>SUM(S6,S11,S16,S22,S27)</x:f>
        <x:v>3180.189678725566</x:v>
      </x:c>
      <x:c r="T30" s="182" t="n">
        <x:f>SUM(T6,T11,T16,T22,T27)</x:f>
        <x:v>3365.6068572015297</x:v>
      </x:c>
      <x:c r="U30" s="182" t="n">
        <x:f>SUM(U6,U11,U16,U22,U27)</x:f>
        <x:v>3548.3893940603243</x:v>
      </x:c>
    </x:row>
    <x:row r="31">
      <x:c r="A31" s="210" t="str">
        <x:v>YoY growth</x:v>
      </x:c>
      <x:c r="B31" s="211"/>
      <x:c r="C31" s="211" t="n">
        <x:f>C30/B30-1</x:f>
        <x:v>1.647619905516855</x:v>
      </x:c>
      <x:c r="D31" s="211" t="n">
        <x:f>D30/C30-1</x:f>
        <x:v>1.3447856378695717</x:v>
      </x:c>
      <x:c r="E31" s="211" t="n">
        <x:f>E30/D30-1</x:f>
        <x:v>1.1460879064681828</x:v>
      </x:c>
      <x:c r="F31" s="211" t="n">
        <x:f>F30/E30-1</x:f>
        <x:v>0.8981751277611061</x:v>
      </x:c>
      <x:c r="G31" s="211" t="n">
        <x:f>G30/F30-1</x:f>
        <x:v>0.7615493158355624</x:v>
      </x:c>
      <x:c r="H31" s="211" t="n">
        <x:f>H30/G30-1</x:f>
        <x:v>0.6328367843770326</x:v>
      </x:c>
      <x:c r="I31" s="211" t="n">
        <x:f>I30/H30-1</x:f>
        <x:v>0.5707290204997941</x:v>
      </x:c>
      <x:c r="J31" s="211" t="n">
        <x:f>J30/I30-1</x:f>
        <x:v>0.5118123473879925</x:v>
      </x:c>
      <x:c r="K31" s="211" t="n">
        <x:f>K30/J30-1</x:f>
        <x:v>0.43496797733208536</x:v>
      </x:c>
      <x:c r="L31" s="211" t="n">
        <x:f>L30/K30-1</x:f>
        <x:v>0.3832198462922274</x:v>
      </x:c>
      <x:c r="M31" s="211" t="n">
        <x:f>M30/L30-1</x:f>
        <x:v>0.3432825109998672</x:v>
      </x:c>
      <x:c r="N31" s="211" t="n">
        <x:f>N30/M30-1</x:f>
        <x:v>0.2165062722221518</x:v>
      </x:c>
      <x:c r="O31" s="211" t="n">
        <x:f>O30/N30-1</x:f>
        <x:v>0.18759337608070203</x:v>
      </x:c>
      <x:c r="P31" s="211" t="n">
        <x:f>P30/O30-1</x:f>
        <x:v>0.18005756587225252</x:v>
      </x:c>
      <x:c r="Q31" s="211" t="n">
        <x:f>Q30/P30-1</x:f>
        <x:v>0.12881621459670334</x:v>
      </x:c>
      <x:c r="R31" s="211" t="n">
        <x:f>R30/Q30-1</x:f>
        <x:v>0.08375443484397271</x:v>
      </x:c>
      <x:c r="S31" s="211" t="n">
        <x:f>S30/R30-1</x:f>
        <x:v>0.06039048593809748</x:v>
      </x:c>
      <x:c r="T31" s="211" t="n">
        <x:f>T30/S30-1</x:f>
        <x:v>0.05830381115829164</x:v>
      </x:c>
      <x:c r="U31" s="211" t="n">
        <x:f>U30/T30-1</x:f>
        <x:v>0.05430893880777754</x:v>
      </x:c>
    </x:row>
    <x:row r="32">
      <x:c r="A32" s="210" t="str">
        <x:v>Non-subscription revenue mix</x:v>
      </x:c>
      <x:c r="B32" s="211" t="n">
        <x:f>(B11+B16+B22+B27)/B30</x:f>
        <x:v>0.9359436303947473</x:v>
      </x:c>
      <x:c r="C32" s="211" t="n">
        <x:f>(C11+C16+C22+C27)/C30</x:f>
        <x:v>0.9153211935175349</x:v>
      </x:c>
      <x:c r="D32" s="211" t="n">
        <x:f>(D11+D16+D22+D27)/D30</x:f>
        <x:v>0.8916590005736268</x:v>
      </x:c>
      <x:c r="E32" s="211" t="n">
        <x:f>(E11+E16+E22+E27)/E30</x:f>
        <x:v>0.8737924491584901</x:v>
      </x:c>
      <x:c r="F32" s="211" t="n">
        <x:f>(F11+F16+F22+F27)/F30</x:f>
        <x:v>0.8670222267738051</x:v>
      </x:c>
      <x:c r="G32" s="211" t="n">
        <x:f>(G11+G16+G22+G27)/G30</x:f>
        <x:v>0.8678940742368838</x:v>
      </x:c>
      <x:c r="H32" s="211" t="n">
        <x:f>(H11+H16+H22+H27)/H30</x:f>
        <x:v>0.8705507597309374</x:v>
      </x:c>
      <x:c r="I32" s="211" t="n">
        <x:f>(I11+I16+I22+I27)/I30</x:f>
        <x:v>0.8763797842470568</x:v>
      </x:c>
      <x:c r="J32" s="211" t="n">
        <x:f>(J11+J16+J22+J27)/J30</x:f>
        <x:v>0.8855226296086702</x:v>
      </x:c>
      <x:c r="K32" s="211" t="n">
        <x:f>(K11+K16+K22+K27)/K30</x:f>
        <x:v>0.8923011157951924</x:v>
      </x:c>
      <x:c r="L32" s="211" t="n">
        <x:f>(L11+L16+L22+L27)/L30</x:f>
        <x:v>0.8987806964731255</x:v>
      </x:c>
      <x:c r="M32" s="211" t="n">
        <x:f>(M11+M16+M22+M27)/M30</x:f>
        <x:v>0.9058097396694197</x:v>
      </x:c>
      <x:c r="N32" s="211" t="n">
        <x:f>(N11+N16+N22+N27)/N30</x:f>
        <x:v>0.905539231299316</x:v>
      </x:c>
      <x:c r="O32" s="211" t="n">
        <x:f>(O11+O16+O22+O27)/O30</x:f>
        <x:v>0.9045524126996158</x:v>
      </x:c>
      <x:c r="P32" s="211" t="n">
        <x:f>(P11+P16+P22+P27)/P30</x:f>
        <x:v>0.9045570688484141</x:v>
      </x:c>
      <x:c r="Q32" s="211" t="n">
        <x:f>(Q11+Q16+Q22+Q27)/Q30</x:f>
        <x:v>0.9019204377965152</x:v>
      </x:c>
      <x:c r="R32" s="211" t="n">
        <x:f>(R11+R16+R22+R27)/R30</x:f>
        <x:v>0.8968302252640196</x:v>
      </x:c>
      <x:c r="S32" s="211" t="n">
        <x:f>(S11+S16+S22+S27)/S30</x:f>
        <x:v>0.8910305691755861</x:v>
      </x:c>
      <x:c r="T32" s="211" t="n">
        <x:f>(T11+T16+T22+T27)/T30</x:f>
        <x:v>0.8867372746435979</x:v>
      </x:c>
      <x:c r="U32" s="211" t="n">
        <x:f>(U11+U16+U22+U27)/U30</x:f>
        <x:v>0.8839773249734189</x:v>
      </x:c>
    </x:row>
    <x:row r="33">
      <x:c r="A33" s="163" t="str">
        <x:v>Revenue / member ($)</x:v>
      </x:c>
      <x:c r="B33" s="177" t="n">
        <x:f>B30/B5</x:f>
        <x:v>15.611249999999998</x:v>
      </x:c>
      <x:c r="C33" s="177" t="n">
        <x:f>C30/C5</x:f>
        <x:v>11.809330357142857</x:v>
      </x:c>
      <x:c r="D33" s="177" t="n">
        <x:f>D30/D5</x:f>
        <x:v>9.23011607142857</x:v>
      </x:c>
      <x:c r="E33" s="177" t="n">
        <x:f>E30/E5</x:f>
        <x:v>7.923456190476188</x:v>
      </x:c>
      <x:c r="F33" s="177" t="n">
        <x:f>F30/F5</x:f>
        <x:v>7.520053733333333</x:v>
      </x:c>
      <x:c r="G33" s="177" t="n">
        <x:f>G30/G5</x:f>
        <x:v>7.569683148</x:v>
      </x:c>
      <x:c r="H33" s="177" t="n">
        <x:f>H30/H5</x:f>
        <x:v>7.725035681333332</x:v>
      </x:c>
      <x:c r="I33" s="177" t="n">
        <x:f>I30/I5</x:f>
        <x:v>8.089291819377777</x:v>
      </x:c>
      <x:c r="J33" s="177" t="n">
        <x:f>J30/J5</x:f>
        <x:v>8.735350895828574</x:v>
      </x:c>
      <x:c r="K33" s="177" t="n">
        <x:f>K30/K5</x:f>
        <x:v>9.285147263906035</x:v>
      </x:c>
      <x:c r="L33" s="177" t="n">
        <x:f>L30/L5</x:f>
        <x:v>9.879538439369847</x:v>
      </x:c>
      <x:c r="M33" s="177" t="n">
        <x:f>M30/M5</x:f>
        <x:v>10.61680896188515</x:v>
      </x:c>
      <x:c r="N33" s="177" t="n">
        <x:f>N30/N5</x:f>
        <x:v>10.586405486161999</x:v>
      </x:c>
      <x:c r="O33" s="177" t="n">
        <x:f>O30/O5</x:f>
        <x:v>10.476954193225328</x:v>
      </x:c>
      <x:c r="P33" s="177" t="n">
        <x:f>P30/P5</x:f>
        <x:v>10.477465307637772</x:v>
      </x:c>
      <x:c r="Q33" s="177" t="n">
        <x:f>Q30/Q5</x:f>
        <x:v>10.1958040751172</x:v>
      </x:c>
      <x:c r="R33" s="177" t="n">
        <x:f>R30/R5</x:f>
        <x:v>9.6927613010601</x:v>
      </x:c>
      <x:c r="S33" s="177" t="n">
        <x:f>S30/S5</x:f>
        <x:v>9.176885594743844</x:v>
      </x:c>
      <x:c r="T33" s="177" t="n">
        <x:f>T30/T5</x:f>
        <x:v>8.829029999528213</x:v>
      </x:c>
      <x:c r="U33" s="177" t="n">
        <x:f>U30/U5</x:f>
        <x:v>8.61900486065243</x:v>
      </x:c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7"/>
      <x:c r="N61" s="117"/>
      <x:c r="O61" s="117"/>
      <x:c r="P61" s="117"/>
      <x:c r="Q61" s="117"/>
      <x:c r="R61" s="117"/>
      <x:c r="S61" s="117"/>
      <x:c r="T61" s="117"/>
      <x:c r="U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7"/>
      <x:c r="N62" s="117"/>
      <x:c r="O62" s="117"/>
      <x:c r="P62" s="117"/>
      <x:c r="Q62" s="117"/>
      <x:c r="R62" s="117"/>
      <x:c r="S62" s="117"/>
      <x:c r="T62" s="117"/>
      <x:c r="U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7"/>
      <x:c r="N63" s="117"/>
      <x:c r="O63" s="117"/>
      <x:c r="P63" s="117"/>
      <x:c r="Q63" s="117"/>
      <x:c r="R63" s="117"/>
      <x:c r="S63" s="117"/>
      <x:c r="T63" s="117"/>
      <x:c r="U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  <x:c r="O64" s="117"/>
      <x:c r="P64" s="117"/>
      <x:c r="Q64" s="117"/>
      <x:c r="R64" s="117"/>
      <x:c r="S64" s="117"/>
      <x:c r="T64" s="117"/>
      <x:c r="U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  <x:c r="O65" s="117"/>
      <x:c r="P65" s="117"/>
      <x:c r="Q65" s="117"/>
      <x:c r="R65" s="117"/>
      <x:c r="S65" s="117"/>
      <x:c r="T65" s="117"/>
      <x:c r="U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  <x:c r="R67" s="117"/>
      <x:c r="S67" s="117"/>
      <x:c r="T67" s="117"/>
      <x:c r="U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  <x:c r="R68" s="117"/>
      <x:c r="S68" s="117"/>
      <x:c r="T68" s="117"/>
      <x:c r="U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  <x:c r="O69" s="117"/>
      <x:c r="P69" s="117"/>
      <x:c r="Q69" s="117"/>
      <x:c r="R69" s="117"/>
      <x:c r="S69" s="117"/>
      <x:c r="T69" s="117"/>
      <x:c r="U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</x:row>
  </x:sheetData>
  <x:mergeCells>
    <x:mergeCell ref="A1:U1"/>
    <x:mergeCell ref="A4:U4"/>
    <x:mergeCell ref="A8:U8"/>
    <x:mergeCell ref="A13:U13"/>
    <x:mergeCell ref="A18:U18"/>
    <x:mergeCell ref="A24:U24"/>
    <x:mergeCell ref="A29:U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6" customHeight="1">
      <x:c r="A1" s="162" t="str">
        <x:v>LibertyPass — Cost &amp; Headcount Build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</x:row>
    <x:row r="3">
      <x:c r="A3" s="164" t="str">
        <x:v>Metric</x:v>
      </x:c>
      <x:c r="B3" s="165" t="str">
        <x:v>2027E</x:v>
      </x:c>
      <x:c r="C3" s="165" t="str">
        <x:v>2028E</x:v>
      </x:c>
      <x:c r="D3" s="165" t="str">
        <x:v>2029E</x:v>
      </x:c>
      <x:c r="E3" s="165" t="str">
        <x:v>2030E</x:v>
      </x:c>
      <x:c r="F3" s="165" t="str">
        <x:v>2031E</x:v>
      </x:c>
      <x:c r="G3" s="165" t="str">
        <x:v>2032E</x:v>
      </x:c>
      <x:c r="H3" s="165" t="str">
        <x:v>2033E</x:v>
      </x:c>
      <x:c r="I3" s="165" t="str">
        <x:v>2034E</x:v>
      </x:c>
      <x:c r="J3" s="165" t="str">
        <x:v>2035E</x:v>
      </x:c>
      <x:c r="K3" s="165" t="str">
        <x:v>2036E</x:v>
      </x:c>
      <x:c r="L3" s="165" t="str">
        <x:v>2037E</x:v>
      </x:c>
      <x:c r="M3" s="165" t="str">
        <x:v>2038E</x:v>
      </x:c>
      <x:c r="N3" s="165" t="str">
        <x:v>2039E</x:v>
      </x:c>
      <x:c r="O3" s="165" t="str">
        <x:v>2040E</x:v>
      </x:c>
      <x:c r="P3" s="165" t="str">
        <x:v>2041E</x:v>
      </x:c>
      <x:c r="Q3" s="165" t="str">
        <x:v>2042E</x:v>
      </x:c>
      <x:c r="R3" s="165" t="str">
        <x:v>2043E</x:v>
      </x:c>
      <x:c r="S3" s="165" t="str">
        <x:v>2044E</x:v>
      </x:c>
      <x:c r="T3" s="165" t="str">
        <x:v>2045E</x:v>
      </x:c>
      <x:c r="U3" s="165" t="str">
        <x:v>2046E</x:v>
      </x:c>
    </x:row>
    <x:row r="4" ht="20" customHeight="1">
      <x:c r="A4" s="176" t="str">
        <x:v>Headcount Build</x:v>
      </x:c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</x:row>
    <x:row r="5">
      <x:c r="A5" s="163" t="str">
        <x:v>Product &amp; Engineering</x:v>
      </x:c>
      <x:c r="B5" s="168" t="n">
        <x:f>ROUND(12+'Operating Build'!B4*2+'Operating Build'!B6*0.2,0)</x:f>
        <x:v>13</x:v>
      </x:c>
      <x:c r="C5" s="168" t="n">
        <x:f>ROUND(12+'Operating Build'!C4*2+'Operating Build'!C6*0.2,0)</x:f>
        <x:v>14</x:v>
      </x:c>
      <x:c r="D5" s="168" t="n">
        <x:f>ROUND(12+'Operating Build'!D4*2+'Operating Build'!D6*0.2,0)</x:f>
        <x:v>18</x:v>
      </x:c>
      <x:c r="E5" s="168" t="n">
        <x:f>ROUND(12+'Operating Build'!E4*2+'Operating Build'!E6*0.2,0)</x:f>
        <x:v>27</x:v>
      </x:c>
      <x:c r="F5" s="168" t="n">
        <x:f>ROUND(12+'Operating Build'!F4*2+'Operating Build'!F6*0.2,0)</x:f>
        <x:v>41</x:v>
      </x:c>
      <x:c r="G5" s="168" t="n">
        <x:f>ROUND(12+'Operating Build'!G4*2+'Operating Build'!G6*0.2,0)</x:f>
        <x:v>62</x:v>
      </x:c>
      <x:c r="H5" s="168" t="n">
        <x:f>ROUND(12+'Operating Build'!H4*2+'Operating Build'!H6*0.2,0)</x:f>
        <x:v>90</x:v>
      </x:c>
      <x:c r="I5" s="168" t="n">
        <x:f>ROUND(12+'Operating Build'!I4*2+'Operating Build'!I6*0.2,0)</x:f>
        <x:v>127</x:v>
      </x:c>
      <x:c r="J5" s="168" t="n">
        <x:f>ROUND(12+'Operating Build'!J4*2+'Operating Build'!J6*0.2,0)</x:f>
        <x:v>171</x:v>
      </x:c>
      <x:c r="K5" s="168" t="n">
        <x:f>ROUND(12+'Operating Build'!K4*2+'Operating Build'!K6*0.2,0)</x:f>
        <x:v>225</x:v>
      </x:c>
      <x:c r="L5" s="168" t="n">
        <x:f>ROUND(12+'Operating Build'!L4*2+'Operating Build'!L6*0.2,0)</x:f>
        <x:v>286</x:v>
      </x:c>
      <x:c r="M5" s="168" t="n">
        <x:f>ROUND(12+'Operating Build'!M4*2+'Operating Build'!M6*0.2,0)</x:f>
        <x:v>353</x:v>
      </x:c>
      <x:c r="N5" s="168" t="n">
        <x:f>ROUND(12+'Operating Build'!N4*2+'Operating Build'!N6*0.2,0)</x:f>
        <x:v>427</x:v>
      </x:c>
      <x:c r="O5" s="168" t="n">
        <x:f>ROUND(12+'Operating Build'!O4*2+'Operating Build'!O6*0.2,0)</x:f>
        <x:v>508</x:v>
      </x:c>
      <x:c r="P5" s="168" t="n">
        <x:f>ROUND(12+'Operating Build'!P4*2+'Operating Build'!P6*0.2,0)</x:f>
        <x:v>596</x:v>
      </x:c>
      <x:c r="Q5" s="168" t="n">
        <x:f>ROUND(12+'Operating Build'!Q4*2+'Operating Build'!Q6*0.2,0)</x:f>
        <x:v>687</x:v>
      </x:c>
      <x:c r="R5" s="168" t="n">
        <x:f>ROUND(12+'Operating Build'!R4*2+'Operating Build'!R6*0.2,0)</x:f>
        <x:v>778</x:v>
      </x:c>
      <x:c r="S5" s="168" t="n">
        <x:f>ROUND(12+'Operating Build'!S4*2+'Operating Build'!S6*0.2,0)</x:f>
        <x:v>868</x:v>
      </x:c>
      <x:c r="T5" s="168" t="n">
        <x:f>ROUND(12+'Operating Build'!T4*2+'Operating Build'!T6*0.2,0)</x:f>
        <x:v>950</x:v>
      </x:c>
      <x:c r="U5" s="168" t="n">
        <x:f>ROUND(12+'Operating Build'!U4*2+'Operating Build'!U6*0.2,0)</x:f>
        <x:v>1023</x:v>
      </x:c>
    </x:row>
    <x:row r="6">
      <x:c r="A6" s="163" t="str">
        <x:v>Data / AI / Science</x:v>
      </x:c>
      <x:c r="B6" s="168" t="n">
        <x:f>ROUND(8+'Operating Build'!B4*0.4+('Operating Build'!B14+'Operating Build'!B15)*0.4+'Operating Build'!B16*0.05,0)</x:f>
        <x:v>12</x:v>
      </x:c>
      <x:c r="C6" s="168" t="n">
        <x:f>ROUND(8+'Operating Build'!C4*0.4+('Operating Build'!C14+'Operating Build'!C15)*0.4+'Operating Build'!C16*0.05,0)</x:f>
        <x:v>16</x:v>
      </x:c>
      <x:c r="D6" s="168" t="n">
        <x:f>ROUND(8+'Operating Build'!D4*0.4+('Operating Build'!D14+'Operating Build'!D15)*0.4+'Operating Build'!D16*0.05,0)</x:f>
        <x:v>23</x:v>
      </x:c>
      <x:c r="E6" s="168" t="n">
        <x:f>ROUND(8+'Operating Build'!E4*0.4+('Operating Build'!E14+'Operating Build'!E15)*0.4+'Operating Build'!E16*0.05,0)</x:f>
        <x:v>35</x:v>
      </x:c>
      <x:c r="F6" s="168" t="n">
        <x:f>ROUND(8+'Operating Build'!F4*0.4+('Operating Build'!F14+'Operating Build'!F15)*0.4+'Operating Build'!F16*0.05,0)</x:f>
        <x:v>54</x:v>
      </x:c>
      <x:c r="G6" s="168" t="n">
        <x:f>ROUND(8+'Operating Build'!G4*0.4+('Operating Build'!G14+'Operating Build'!G15)*0.4+'Operating Build'!G16*0.05,0)</x:f>
        <x:v>80</x:v>
      </x:c>
      <x:c r="H6" s="168" t="n">
        <x:f>ROUND(8+'Operating Build'!H4*0.4+('Operating Build'!H14+'Operating Build'!H15)*0.4+'Operating Build'!H16*0.05,0)</x:f>
        <x:v>114</x:v>
      </x:c>
      <x:c r="I6" s="168" t="n">
        <x:f>ROUND(8+'Operating Build'!I4*0.4+('Operating Build'!I14+'Operating Build'!I15)*0.4+'Operating Build'!I16*0.05,0)</x:f>
        <x:v>159</x:v>
      </x:c>
      <x:c r="J6" s="168" t="n">
        <x:f>ROUND(8+'Operating Build'!J4*0.4+('Operating Build'!J14+'Operating Build'!J15)*0.4+'Operating Build'!J16*0.05,0)</x:f>
        <x:v>215</x:v>
      </x:c>
      <x:c r="K6" s="168" t="n">
        <x:f>ROUND(8+'Operating Build'!K4*0.4+('Operating Build'!K14+'Operating Build'!K15)*0.4+'Operating Build'!K16*0.05,0)</x:f>
        <x:v>281</x:v>
      </x:c>
      <x:c r="L6" s="168" t="n">
        <x:f>ROUND(8+'Operating Build'!L4*0.4+('Operating Build'!L14+'Operating Build'!L15)*0.4+'Operating Build'!L16*0.05,0)</x:f>
        <x:v>355</x:v>
      </x:c>
      <x:c r="M6" s="168" t="n">
        <x:f>ROUND(8+'Operating Build'!M4*0.4+('Operating Build'!M14+'Operating Build'!M15)*0.4+'Operating Build'!M16*0.05,0)</x:f>
        <x:v>437</x:v>
      </x:c>
      <x:c r="N6" s="168" t="n">
        <x:f>ROUND(8+'Operating Build'!N4*0.4+('Operating Build'!N14+'Operating Build'!N15)*0.4+'Operating Build'!N16*0.05,0)</x:f>
        <x:v>513</x:v>
      </x:c>
      <x:c r="O6" s="168" t="n">
        <x:f>ROUND(8+'Operating Build'!O4*0.4+('Operating Build'!O14+'Operating Build'!O15)*0.4+'Operating Build'!O16*0.05,0)</x:f>
        <x:v>592</x:v>
      </x:c>
      <x:c r="P6" s="168" t="n">
        <x:f>ROUND(8+'Operating Build'!P4*0.4+('Operating Build'!P14+'Operating Build'!P15)*0.4+'Operating Build'!P16*0.05,0)</x:f>
        <x:v>675</x:v>
      </x:c>
      <x:c r="Q6" s="168" t="n">
        <x:f>ROUND(8+'Operating Build'!Q4*0.4+('Operating Build'!Q14+'Operating Build'!Q15)*0.4+'Operating Build'!Q16*0.05,0)</x:f>
        <x:v>739</x:v>
      </x:c>
      <x:c r="R6" s="168" t="n">
        <x:f>ROUND(8+'Operating Build'!R4*0.4+('Operating Build'!R14+'Operating Build'!R15)*0.4+'Operating Build'!R16*0.05,0)</x:f>
        <x:v>767</x:v>
      </x:c>
      <x:c r="S6" s="168" t="n">
        <x:f>ROUND(8+'Operating Build'!S4*0.4+('Operating Build'!S14+'Operating Build'!S15)*0.4+'Operating Build'!S16*0.05,0)</x:f>
        <x:v>782</x:v>
      </x:c>
      <x:c r="T6" s="168" t="n">
        <x:f>ROUND(8+'Operating Build'!T4*0.4+('Operating Build'!T14+'Operating Build'!T15)*0.4+'Operating Build'!T16*0.05,0)</x:f>
        <x:v>795</x:v>
      </x:c>
      <x:c r="U6" s="168" t="n">
        <x:f>ROUND(8+'Operating Build'!U4*0.4+('Operating Build'!U14+'Operating Build'!U15)*0.4+'Operating Build'!U16*0.05,0)</x:f>
        <x:v>808</x:v>
      </x:c>
    </x:row>
    <x:row r="7">
      <x:c r="A7" s="163" t="str">
        <x:v>Enterprise / Data Sales</x:v>
      </x:c>
      <x:c r="B7" s="168" t="n">
        <x:f>ROUND(5+('Operating Build'!B14+'Operating Build'!B15)*0.5+'Operating Build'!B16*0.1,0)</x:f>
        <x:v>10</x:v>
      </x:c>
      <x:c r="C7" s="168" t="n">
        <x:f>ROUND(5+('Operating Build'!C14+'Operating Build'!C15)*0.5+'Operating Build'!C16*0.1,0)</x:f>
        <x:v>15</x:v>
      </x:c>
      <x:c r="D7" s="168" t="n">
        <x:f>ROUND(5+('Operating Build'!D14+'Operating Build'!D15)*0.5+'Operating Build'!D16*0.1,0)</x:f>
        <x:v>24</x:v>
      </x:c>
      <x:c r="E7" s="168" t="n">
        <x:f>ROUND(5+('Operating Build'!E14+'Operating Build'!E15)*0.5+'Operating Build'!E16*0.1,0)</x:f>
        <x:v>39</x:v>
      </x:c>
      <x:c r="F7" s="168" t="n">
        <x:f>ROUND(5+('Operating Build'!F14+'Operating Build'!F15)*0.5+'Operating Build'!F16*0.1,0)</x:f>
        <x:v>61</x:v>
      </x:c>
      <x:c r="G7" s="168" t="n">
        <x:f>ROUND(5+('Operating Build'!G14+'Operating Build'!G15)*0.5+'Operating Build'!G16*0.1,0)</x:f>
        <x:v>92</x:v>
      </x:c>
      <x:c r="H7" s="168" t="n">
        <x:f>ROUND(5+('Operating Build'!H14+'Operating Build'!H15)*0.5+'Operating Build'!H16*0.1,0)</x:f>
        <x:v>133</x:v>
      </x:c>
      <x:c r="I7" s="168" t="n">
        <x:f>ROUND(5+('Operating Build'!I14+'Operating Build'!I15)*0.5+'Operating Build'!I16*0.1,0)</x:f>
        <x:v>187</x:v>
      </x:c>
      <x:c r="J7" s="168" t="n">
        <x:f>ROUND(5+('Operating Build'!J14+'Operating Build'!J15)*0.5+'Operating Build'!J16*0.1,0)</x:f>
        <x:v>255</x:v>
      </x:c>
      <x:c r="K7" s="168" t="n">
        <x:f>ROUND(5+('Operating Build'!K14+'Operating Build'!K15)*0.5+'Operating Build'!K16*0.1,0)</x:f>
        <x:v>335</x:v>
      </x:c>
      <x:c r="L7" s="168" t="n">
        <x:f>ROUND(5+('Operating Build'!L14+'Operating Build'!L15)*0.5+'Operating Build'!L16*0.1,0)</x:f>
        <x:v>426</x:v>
      </x:c>
      <x:c r="M7" s="168" t="n">
        <x:f>ROUND(5+('Operating Build'!M14+'Operating Build'!M15)*0.5+'Operating Build'!M16*0.1,0)</x:f>
        <x:v>527</x:v>
      </x:c>
      <x:c r="N7" s="168" t="n">
        <x:f>ROUND(5+('Operating Build'!N14+'Operating Build'!N15)*0.5+'Operating Build'!N16*0.1,0)</x:f>
        <x:v>611</x:v>
      </x:c>
      <x:c r="O7" s="168" t="n">
        <x:f>ROUND(5+('Operating Build'!O14+'Operating Build'!O15)*0.5+'Operating Build'!O16*0.1,0)</x:f>
        <x:v>693</x:v>
      </x:c>
      <x:c r="P7" s="168" t="n">
        <x:f>ROUND(5+('Operating Build'!P14+'Operating Build'!P15)*0.5+'Operating Build'!P16*0.1,0)</x:f>
        <x:v>779</x:v>
      </x:c>
      <x:c r="Q7" s="168" t="n">
        <x:f>ROUND(5+('Operating Build'!Q14+'Operating Build'!Q15)*0.5+'Operating Build'!Q16*0.1,0)</x:f>
        <x:v>839</x:v>
      </x:c>
      <x:c r="R7" s="168" t="n">
        <x:f>ROUND(5+('Operating Build'!R14+'Operating Build'!R15)*0.5+'Operating Build'!R16*0.1,0)</x:f>
        <x:v>855</x:v>
      </x:c>
      <x:c r="S7" s="168" t="n">
        <x:f>ROUND(5+('Operating Build'!S14+'Operating Build'!S15)*0.5+'Operating Build'!S16*0.1,0)</x:f>
        <x:v>855</x:v>
      </x:c>
      <x:c r="T7" s="168" t="n">
        <x:f>ROUND(5+('Operating Build'!T14+'Operating Build'!T15)*0.5+'Operating Build'!T16*0.1,0)</x:f>
        <x:v>855</x:v>
      </x:c>
      <x:c r="U7" s="168" t="n">
        <x:f>ROUND(5+('Operating Build'!U14+'Operating Build'!U15)*0.5+'Operating Build'!U16*0.1,0)</x:f>
        <x:v>855</x:v>
      </x:c>
    </x:row>
    <x:row r="8">
      <x:c r="A8" s="163" t="str">
        <x:v>Merchant Partnerships / Field Ops</x:v>
      </x:c>
      <x:c r="B8" s="168" t="n">
        <x:f>ROUND(6+'Operating Build'!B6*0.6,0)</x:f>
        <x:v>7</x:v>
      </x:c>
      <x:c r="C8" s="168" t="n">
        <x:f>ROUND(6+'Operating Build'!C6*0.6,0)</x:f>
        <x:v>9</x:v>
      </x:c>
      <x:c r="D8" s="168" t="n">
        <x:f>ROUND(6+'Operating Build'!D6*0.6,0)</x:f>
        <x:v>13</x:v>
      </x:c>
      <x:c r="E8" s="168" t="n">
        <x:f>ROUND(6+'Operating Build'!E6*0.6,0)</x:f>
        <x:v>20</x:v>
      </x:c>
      <x:c r="F8" s="168" t="n">
        <x:f>ROUND(6+'Operating Build'!F6*0.6,0)</x:f>
        <x:v>30</x:v>
      </x:c>
      <x:c r="G8" s="168" t="n">
        <x:f>ROUND(6+'Operating Build'!G6*0.6,0)</x:f>
        <x:v>45</x:v>
      </x:c>
      <x:c r="H8" s="168" t="n">
        <x:f>ROUND(6+'Operating Build'!H6*0.6,0)</x:f>
        <x:v>62</x:v>
      </x:c>
      <x:c r="I8" s="168" t="n">
        <x:f>ROUND(6+'Operating Build'!I6*0.6,0)</x:f>
        <x:v>85</x:v>
      </x:c>
      <x:c r="J8" s="168" t="n">
        <x:f>ROUND(6+'Operating Build'!J6*0.6,0)</x:f>
        <x:v>113</x:v>
      </x:c>
      <x:c r="K8" s="168" t="n">
        <x:f>ROUND(6+'Operating Build'!K6*0.6,0)</x:f>
        <x:v>145</x:v>
      </x:c>
      <x:c r="L8" s="168" t="n">
        <x:f>ROUND(6+'Operating Build'!L6*0.6,0)</x:f>
        <x:v>179</x:v>
      </x:c>
      <x:c r="M8" s="168" t="n">
        <x:f>ROUND(6+'Operating Build'!M6*0.6,0)</x:f>
        <x:v>217</x:v>
      </x:c>
      <x:c r="N8" s="168" t="n">
        <x:f>ROUND(6+'Operating Build'!N6*0.6,0)</x:f>
        <x:v>259</x:v>
      </x:c>
      <x:c r="O8" s="168" t="n">
        <x:f>ROUND(6+'Operating Build'!O6*0.6,0)</x:f>
        <x:v>305</x:v>
      </x:c>
      <x:c r="P8" s="168" t="n">
        <x:f>ROUND(6+'Operating Build'!P6*0.6,0)</x:f>
        <x:v>353</x:v>
      </x:c>
      <x:c r="Q8" s="168" t="n">
        <x:f>ROUND(6+'Operating Build'!Q6*0.6,0)</x:f>
        <x:v>402</x:v>
      </x:c>
      <x:c r="R8" s="168" t="n">
        <x:f>ROUND(6+'Operating Build'!R6*0.6,0)</x:f>
        <x:v>449</x:v>
      </x:c>
      <x:c r="S8" s="168" t="n">
        <x:f>ROUND(6+'Operating Build'!S6*0.6,0)</x:f>
        <x:v>493</x:v>
      </x:c>
      <x:c r="T8" s="168" t="n">
        <x:f>ROUND(6+'Operating Build'!T6*0.6,0)</x:f>
        <x:v>532</x:v>
      </x:c>
      <x:c r="U8" s="168" t="n">
        <x:f>ROUND(6+'Operating Build'!U6*0.6,0)</x:f>
        <x:v>569</x:v>
      </x:c>
    </x:row>
    <x:row r="9">
      <x:c r="A9" s="163" t="str">
        <x:v>Public Sector / Regulatory</x:v>
      </x:c>
      <x:c r="B9" s="168" t="n">
        <x:f>ROUND(3+'Operating Build'!B16*0.08+'Operating Build'!B10*0.05,0)</x:f>
        <x:v>3</x:v>
      </x:c>
      <x:c r="C9" s="168" t="n">
        <x:f>ROUND(3+'Operating Build'!C16*0.08+'Operating Build'!C10*0.05,0)</x:f>
        <x:v>4</x:v>
      </x:c>
      <x:c r="D9" s="168" t="n">
        <x:f>ROUND(3+'Operating Build'!D16*0.08+'Operating Build'!D10*0.05,0)</x:f>
        <x:v>5</x:v>
      </x:c>
      <x:c r="E9" s="168" t="n">
        <x:f>ROUND(3+'Operating Build'!E16*0.08+'Operating Build'!E10*0.05,0)</x:f>
        <x:v>8</x:v>
      </x:c>
      <x:c r="F9" s="168" t="n">
        <x:f>ROUND(3+'Operating Build'!F16*0.08+'Operating Build'!F10*0.05,0)</x:f>
        <x:v>12</x:v>
      </x:c>
      <x:c r="G9" s="168" t="n">
        <x:f>ROUND(3+'Operating Build'!G16*0.08+'Operating Build'!G10*0.05,0)</x:f>
        <x:v>17</x:v>
      </x:c>
      <x:c r="H9" s="168" t="n">
        <x:f>ROUND(3+'Operating Build'!H16*0.08+'Operating Build'!H10*0.05,0)</x:f>
        <x:v>25</x:v>
      </x:c>
      <x:c r="I9" s="168" t="n">
        <x:f>ROUND(3+'Operating Build'!I16*0.08+'Operating Build'!I10*0.05,0)</x:f>
        <x:v>37</x:v>
      </x:c>
      <x:c r="J9" s="168" t="n">
        <x:f>ROUND(3+'Operating Build'!J16*0.08+'Operating Build'!J10*0.05,0)</x:f>
        <x:v>52</x:v>
      </x:c>
      <x:c r="K9" s="168" t="n">
        <x:f>ROUND(3+'Operating Build'!K16*0.08+'Operating Build'!K10*0.05,0)</x:f>
        <x:v>72</x:v>
      </x:c>
      <x:c r="L9" s="168" t="n">
        <x:f>ROUND(3+'Operating Build'!L16*0.08+'Operating Build'!L10*0.05,0)</x:f>
        <x:v>96</x:v>
      </x:c>
      <x:c r="M9" s="168" t="n">
        <x:f>ROUND(3+'Operating Build'!M16*0.08+'Operating Build'!M10*0.05,0)</x:f>
        <x:v>124</x:v>
      </x:c>
      <x:c r="N9" s="168" t="n">
        <x:f>ROUND(3+'Operating Build'!N16*0.08+'Operating Build'!N10*0.05,0)</x:f>
        <x:v>132</x:v>
      </x:c>
      <x:c r="O9" s="168" t="n">
        <x:f>ROUND(3+'Operating Build'!O16*0.08+'Operating Build'!O10*0.05,0)</x:f>
        <x:v>134</x:v>
      </x:c>
      <x:c r="P9" s="168" t="n">
        <x:f>ROUND(3+'Operating Build'!P16*0.08+'Operating Build'!P10*0.05,0)</x:f>
        <x:v>137</x:v>
      </x:c>
      <x:c r="Q9" s="168" t="n">
        <x:f>ROUND(3+'Operating Build'!Q16*0.08+'Operating Build'!Q10*0.05,0)</x:f>
        <x:v>140</x:v>
      </x:c>
      <x:c r="R9" s="168" t="n">
        <x:f>ROUND(3+'Operating Build'!R16*0.08+'Operating Build'!R10*0.05,0)</x:f>
        <x:v>143</x:v>
      </x:c>
      <x:c r="S9" s="168" t="n">
        <x:f>ROUND(3+'Operating Build'!S16*0.08+'Operating Build'!S10*0.05,0)</x:f>
        <x:v>147</x:v>
      </x:c>
      <x:c r="T9" s="168" t="n">
        <x:f>ROUND(3+'Operating Build'!T16*0.08+'Operating Build'!T10*0.05,0)</x:f>
        <x:v>149</x:v>
      </x:c>
      <x:c r="U9" s="168" t="n">
        <x:f>ROUND(3+'Operating Build'!U16*0.08+'Operating Build'!U10*0.05,0)</x:f>
        <x:v>152</x:v>
      </x:c>
    </x:row>
    <x:row r="10">
      <x:c r="A10" s="163" t="str">
        <x:v>Customer Support / Trust &amp; Safety</x:v>
      </x:c>
      <x:c r="B10" s="168" t="n">
        <x:f>ROUND(5+'Operating Build'!B4*1.5+'Operating Build'!B6*0.1,0)</x:f>
        <x:v>5</x:v>
      </x:c>
      <x:c r="C10" s="168" t="n">
        <x:f>ROUND(5+'Operating Build'!C4*1.5+'Operating Build'!C6*0.1,0)</x:f>
        <x:v>7</x:v>
      </x:c>
      <x:c r="D10" s="168" t="n">
        <x:f>ROUND(5+'Operating Build'!D4*1.5+'Operating Build'!D6*0.1,0)</x:f>
        <x:v>9</x:v>
      </x:c>
      <x:c r="E10" s="168" t="n">
        <x:f>ROUND(5+'Operating Build'!E4*1.5+'Operating Build'!E6*0.1,0)</x:f>
        <x:v>15</x:v>
      </x:c>
      <x:c r="F10" s="168" t="n">
        <x:f>ROUND(5+'Operating Build'!F4*1.5+'Operating Build'!F6*0.1,0)</x:f>
        <x:v>25</x:v>
      </x:c>
      <x:c r="G10" s="168" t="n">
        <x:f>ROUND(5+'Operating Build'!G4*1.5+'Operating Build'!G6*0.1,0)</x:f>
        <x:v>39</x:v>
      </x:c>
      <x:c r="H10" s="168" t="n">
        <x:f>ROUND(5+'Operating Build'!H4*1.5+'Operating Build'!H6*0.1,0)</x:f>
        <x:v>58</x:v>
      </x:c>
      <x:c r="I10" s="168" t="n">
        <x:f>ROUND(5+'Operating Build'!I4*1.5+'Operating Build'!I6*0.1,0)</x:f>
        <x:v>84</x:v>
      </x:c>
      <x:c r="J10" s="168" t="n">
        <x:f>ROUND(5+'Operating Build'!J4*1.5+'Operating Build'!J6*0.1,0)</x:f>
        <x:v>115</x:v>
      </x:c>
      <x:c r="K10" s="168" t="n">
        <x:f>ROUND(5+'Operating Build'!K4*1.5+'Operating Build'!K6*0.1,0)</x:f>
        <x:v>153</x:v>
      </x:c>
      <x:c r="L10" s="168" t="n">
        <x:f>ROUND(5+'Operating Build'!L4*1.5+'Operating Build'!L6*0.1,0)</x:f>
        <x:v>196</x:v>
      </x:c>
      <x:c r="M10" s="168" t="n">
        <x:f>ROUND(5+'Operating Build'!M4*1.5+'Operating Build'!M6*0.1,0)</x:f>
        <x:v>243</x:v>
      </x:c>
      <x:c r="N10" s="168" t="n">
        <x:f>ROUND(5+'Operating Build'!N4*1.5+'Operating Build'!N6*0.1,0)</x:f>
        <x:v>295</x:v>
      </x:c>
      <x:c r="O10" s="168" t="n">
        <x:f>ROUND(5+'Operating Build'!O4*1.5+'Operating Build'!O6*0.1,0)</x:f>
        <x:v>352</x:v>
      </x:c>
      <x:c r="P10" s="168" t="n">
        <x:f>ROUND(5+'Operating Build'!P4*1.5+'Operating Build'!P6*0.1,0)</x:f>
        <x:v>414</x:v>
      </x:c>
      <x:c r="Q10" s="168" t="n">
        <x:f>ROUND(5+'Operating Build'!Q4*1.5+'Operating Build'!Q6*0.1,0)</x:f>
        <x:v>478</x:v>
      </x:c>
      <x:c r="R10" s="168" t="n">
        <x:f>ROUND(5+'Operating Build'!R4*1.5+'Operating Build'!R6*0.1,0)</x:f>
        <x:v>543</x:v>
      </x:c>
      <x:c r="S10" s="168" t="n">
        <x:f>ROUND(5+'Operating Build'!S4*1.5+'Operating Build'!S6*0.1,0)</x:f>
        <x:v>606</x:v>
      </x:c>
      <x:c r="T10" s="168" t="n">
        <x:f>ROUND(5+'Operating Build'!T4*1.5+'Operating Build'!T6*0.1,0)</x:f>
        <x:v>665</x:v>
      </x:c>
      <x:c r="U10" s="168" t="n">
        <x:f>ROUND(5+'Operating Build'!U4*1.5+'Operating Build'!U6*0.1,0)</x:f>
        <x:v>716</x:v>
      </x:c>
    </x:row>
    <x:row r="11">
      <x:c r="A11" s="163" t="str">
        <x:v>G&amp;A</x:v>
      </x:c>
      <x:c r="B11" s="168" t="n">
        <x:f>ROUND(5+0.05*SUM(B5:B10),0)</x:f>
        <x:v>8</x:v>
      </x:c>
      <x:c r="C11" s="168" t="n">
        <x:f>ROUND(5+0.05*SUM(C5:C10),0)</x:f>
        <x:v>8</x:v>
      </x:c>
      <x:c r="D11" s="168" t="n">
        <x:f>ROUND(5+0.05*SUM(D5:D10),0)</x:f>
        <x:v>10</x:v>
      </x:c>
      <x:c r="E11" s="168" t="n">
        <x:f>ROUND(5+0.05*SUM(E5:E10),0)</x:f>
        <x:v>12</x:v>
      </x:c>
      <x:c r="F11" s="168" t="n">
        <x:f>ROUND(5+0.05*SUM(F5:F10),0)</x:f>
        <x:v>16</x:v>
      </x:c>
      <x:c r="G11" s="168" t="n">
        <x:f>ROUND(5+0.05*SUM(G5:G10),0)</x:f>
        <x:v>22</x:v>
      </x:c>
      <x:c r="H11" s="168" t="n">
        <x:f>ROUND(5+0.05*SUM(H5:H10),0)</x:f>
        <x:v>29</x:v>
      </x:c>
      <x:c r="I11" s="168" t="n">
        <x:f>ROUND(5+0.05*SUM(I5:I10),0)</x:f>
        <x:v>39</x:v>
      </x:c>
      <x:c r="J11" s="168" t="n">
        <x:f>ROUND(5+0.05*SUM(J5:J10),0)</x:f>
        <x:v>51</x:v>
      </x:c>
      <x:c r="K11" s="168" t="n">
        <x:f>ROUND(5+0.05*SUM(K5:K10),0)</x:f>
        <x:v>66</x:v>
      </x:c>
      <x:c r="L11" s="168" t="n">
        <x:f>ROUND(5+0.05*SUM(L5:L10),0)</x:f>
        <x:v>82</x:v>
      </x:c>
      <x:c r="M11" s="168" t="n">
        <x:f>ROUND(5+0.05*SUM(M5:M10),0)</x:f>
        <x:v>100</x:v>
      </x:c>
      <x:c r="N11" s="168" t="n">
        <x:f>ROUND(5+0.05*SUM(N5:N10),0)</x:f>
        <x:v>117</x:v>
      </x:c>
      <x:c r="O11" s="168" t="n">
        <x:f>ROUND(5+0.05*SUM(O5:O10),0)</x:f>
        <x:v>134</x:v>
      </x:c>
      <x:c r="P11" s="168" t="n">
        <x:f>ROUND(5+0.05*SUM(P5:P10),0)</x:f>
        <x:v>153</x:v>
      </x:c>
      <x:c r="Q11" s="168" t="n">
        <x:f>ROUND(5+0.05*SUM(Q5:Q10),0)</x:f>
        <x:v>169</x:v>
      </x:c>
      <x:c r="R11" s="168" t="n">
        <x:f>ROUND(5+0.05*SUM(R5:R10),0)</x:f>
        <x:v>182</x:v>
      </x:c>
      <x:c r="S11" s="168" t="n">
        <x:f>ROUND(5+0.05*SUM(S5:S10),0)</x:f>
        <x:v>193</x:v>
      </x:c>
      <x:c r="T11" s="168" t="n">
        <x:f>ROUND(5+0.05*SUM(T5:T10),0)</x:f>
        <x:v>202</x:v>
      </x:c>
      <x:c r="U11" s="168" t="n">
        <x:f>ROUND(5+0.05*SUM(U5:U10),0)</x:f>
        <x:v>211</x:v>
      </x:c>
    </x:row>
    <x:row r="12">
      <x:c r="A12" s="181" t="str">
        <x:v>Total headcount</x:v>
      </x:c>
      <x:c r="B12" s="190" t="n">
        <x:f>SUM(B5:B11)</x:f>
        <x:v>58</x:v>
      </x:c>
      <x:c r="C12" s="190" t="n">
        <x:f>SUM(C5:C11)</x:f>
        <x:v>73</x:v>
      </x:c>
      <x:c r="D12" s="190" t="n">
        <x:f>SUM(D5:D11)</x:f>
        <x:v>102</x:v>
      </x:c>
      <x:c r="E12" s="190" t="n">
        <x:f>SUM(E5:E11)</x:f>
        <x:v>156</x:v>
      </x:c>
      <x:c r="F12" s="190" t="n">
        <x:f>SUM(F5:F11)</x:f>
        <x:v>239</x:v>
      </x:c>
      <x:c r="G12" s="190" t="n">
        <x:f>SUM(G5:G11)</x:f>
        <x:v>357</x:v>
      </x:c>
      <x:c r="H12" s="190" t="n">
        <x:f>SUM(H5:H11)</x:f>
        <x:v>511</x:v>
      </x:c>
      <x:c r="I12" s="190" t="n">
        <x:f>SUM(I5:I11)</x:f>
        <x:v>718</x:v>
      </x:c>
      <x:c r="J12" s="190" t="n">
        <x:f>SUM(J5:J11)</x:f>
        <x:v>972</x:v>
      </x:c>
      <x:c r="K12" s="190" t="n">
        <x:f>SUM(K5:K11)</x:f>
        <x:v>1277</x:v>
      </x:c>
      <x:c r="L12" s="190" t="n">
        <x:f>SUM(L5:L11)</x:f>
        <x:v>1620</x:v>
      </x:c>
      <x:c r="M12" s="190" t="n">
        <x:f>SUM(M5:M11)</x:f>
        <x:v>2001</x:v>
      </x:c>
      <x:c r="N12" s="190" t="n">
        <x:f>SUM(N5:N11)</x:f>
        <x:v>2354</x:v>
      </x:c>
      <x:c r="O12" s="190" t="n">
        <x:f>SUM(O5:O11)</x:f>
        <x:v>2718</x:v>
      </x:c>
      <x:c r="P12" s="190" t="n">
        <x:f>SUM(P5:P11)</x:f>
        <x:v>3107</x:v>
      </x:c>
      <x:c r="Q12" s="190" t="n">
        <x:f>SUM(Q5:Q11)</x:f>
        <x:v>3454</x:v>
      </x:c>
      <x:c r="R12" s="190" t="n">
        <x:f>SUM(R5:R11)</x:f>
        <x:v>3717</x:v>
      </x:c>
      <x:c r="S12" s="190" t="n">
        <x:f>SUM(S5:S11)</x:f>
        <x:v>3944</x:v>
      </x:c>
      <x:c r="T12" s="190" t="n">
        <x:f>SUM(T5:T11)</x:f>
        <x:v>4148</x:v>
      </x:c>
      <x:c r="U12" s="190" t="n">
        <x:f>SUM(U5:U11)</x:f>
        <x:v>4334</x:v>
      </x:c>
    </x:row>
    <x:row r="13">
      <x:c r="A13" s="163"/>
      <x:c r="B13" s="163"/>
      <x:c r="C13" s="163"/>
      <x:c r="D13" s="163"/>
      <x:c r="E13" s="163"/>
      <x:c r="F13" s="163"/>
      <x:c r="G13" s="163"/>
      <x:c r="H13" s="163"/>
      <x:c r="I13" s="163"/>
      <x:c r="J13" s="163"/>
      <x:c r="K13" s="163"/>
      <x:c r="L13" s="163"/>
      <x:c r="M13" s="163"/>
      <x:c r="N13" s="163"/>
      <x:c r="O13" s="163"/>
      <x:c r="P13" s="163"/>
      <x:c r="Q13" s="163"/>
      <x:c r="R13" s="163"/>
      <x:c r="S13" s="163"/>
      <x:c r="T13" s="163"/>
      <x:c r="U13" s="163"/>
    </x:row>
    <x:row r="14" ht="20" customHeight="1">
      <x:c r="A14" s="176" t="str">
        <x:v>Payroll Build ($mm)</x:v>
      </x:c>
      <x:c r="B14" s="176"/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  <x:c r="R14" s="176"/>
      <x:c r="S14" s="176"/>
      <x:c r="T14" s="176"/>
      <x:c r="U14" s="176"/>
    </x:row>
    <x:row r="15">
      <x:c r="A15" s="163" t="str">
        <x:v>Product &amp; Engineering payroll</x:v>
      </x:c>
      <x:c r="B15" s="177" t="n">
        <x:f>B5*'Assumptions'!B53*(1+'Assumptions'!B21)^0/1000</x:f>
        <x:v>2.86</x:v>
      </x:c>
      <x:c r="C15" s="177" t="n">
        <x:f>C5*'Assumptions'!B53*(1+'Assumptions'!B21)^1/1000</x:f>
        <x:v>3.1724</x:v>
      </x:c>
      <x:c r="D15" s="177" t="n">
        <x:f>D5*'Assumptions'!B53*(1+'Assumptions'!B21)^2/1000</x:f>
        <x:v>4.2011639999999995</x:v>
      </x:c>
      <x:c r="E15" s="177" t="n">
        <x:f>E5*'Assumptions'!B53*(1+'Assumptions'!B21)^3/1000</x:f>
        <x:v>6.49079838</x:v>
      </x:c>
      <x:c r="F15" s="177" t="n">
        <x:f>F5*'Assumptions'!B53*(1+'Assumptions'!B21)^4/1000</x:f>
        <x:v>10.1520894662</x:v>
      </x:c>
      <x:c r="G15" s="177" t="n">
        <x:f>G5*'Assumptions'!B53*(1+'Assumptions'!B21)^5/1000</x:f>
        <x:v>15.812498373451998</x:v>
      </x:c>
      <x:c r="H15" s="177" t="n">
        <x:f>H5*'Assumptions'!B53*(1+'Assumptions'!B21)^6/1000</x:f>
        <x:v>23.642235471274198</x:v>
      </x:c>
      <x:c r="I15" s="177" t="n">
        <x:f>I5*'Assumptions'!B53*(1+'Assumptions'!B21)^7/1000</x:f>
        <x:v>34.362675799970866</x:v>
      </x:c>
      <x:c r="J15" s="177" t="n">
        <x:f>J5*'Assumptions'!B53*(1+'Assumptions'!B21)^8/1000</x:f>
        <x:v>47.65589046180211</x:v>
      </x:c>
      <x:c r="K15" s="177" t="n">
        <x:f>K5*'Assumptions'!B53*(1+'Assumptions'!B21)^9/1000</x:f>
        <x:v>64.5862725995476</x:v>
      </x:c>
      <x:c r="L15" s="177" t="n">
        <x:f>L5*'Assumptions'!B53*(1+'Assumptions'!B21)^10/1000</x:f>
        <x:v>84.55921858833213</x:v>
      </x:c>
      <x:c r="M15" s="177" t="n">
        <x:f>M5*'Assumptions'!B53*(1+'Assumptions'!B21)^11/1000</x:f>
        <x:v>107.49960240046045</x:v>
      </x:c>
      <x:c r="N15" s="177" t="n">
        <x:f>N5*'Assumptions'!B53*(1+'Assumptions'!B21)^12/1000</x:f>
        <x:v>133.93597771033</x:v>
      </x:c>
      <x:c r="O15" s="177" t="n">
        <x:f>O5*'Assumptions'!B53*(1+'Assumptions'!B21)^13/1000</x:f>
        <x:v>164.12332781534676</x:v>
      </x:c>
      <x:c r="P15" s="177" t="n">
        <x:f>P5*'Assumptions'!B53*(1+'Assumptions'!B21)^14/1000</x:f>
        <x:v>198.33076472300215</x:v>
      </x:c>
      <x:c r="Q15" s="177" t="n">
        <x:f>Q5*'Assumptions'!B53*(1+'Assumptions'!B21)^15/1000</x:f>
        <x:v>235.47119534503955</x:v>
      </x:c>
      <x:c r="R15" s="177" t="n">
        <x:f>R5*'Assumptions'!B53*(1+'Assumptions'!B21)^16/1000</x:f>
        <x:v>274.6615541161484</x:v>
      </x:c>
      <x:c r="S15" s="177" t="n">
        <x:f>S5*'Assumptions'!B53*(1+'Assumptions'!B21)^17/1000</x:f>
        <x:v>315.6277838586135</x:v>
      </x:c>
      <x:c r="T15" s="177" t="n">
        <x:f>T5*'Assumptions'!B53*(1+'Assumptions'!B21)^18/1000</x:f>
        <x:v>355.80850979913976</x:v>
      </x:c>
      <x:c r="U15" s="177" t="n">
        <x:f>U5*'Assumptions'!B53*(1+'Assumptions'!B21)^19/1000</x:f>
        <x:v>394.6440723055322</x:v>
      </x:c>
    </x:row>
    <x:row r="16">
      <x:c r="A16" s="163" t="str">
        <x:v>Data / AI / Science payroll</x:v>
      </x:c>
      <x:c r="B16" s="177" t="n">
        <x:f>B6*'Assumptions'!B54*(1+'Assumptions'!B21)^0/1000</x:f>
        <x:v>3</x:v>
      </x:c>
      <x:c r="C16" s="177" t="n">
        <x:f>C6*'Assumptions'!B54*(1+'Assumptions'!B21)^1/1000</x:f>
        <x:v>4.12</x:v>
      </x:c>
      <x:c r="D16" s="177" t="n">
        <x:f>D6*'Assumptions'!B54*(1+'Assumptions'!B21)^2/1000</x:f>
        <x:v>6.100175</x:v>
      </x:c>
      <x:c r="E16" s="177" t="n">
        <x:f>E6*'Assumptions'!B54*(1+'Assumptions'!B21)^3/1000</x:f>
        <x:v>9.56136125</x:v>
      </x:c>
      <x:c r="F16" s="177" t="n">
        <x:f>F6*'Assumptions'!B54*(1+'Assumptions'!B21)^4/1000</x:f>
        <x:v>15.194368934999998</x:v>
      </x:c>
      <x:c r="G16" s="177" t="n">
        <x:f>G6*'Assumptions'!B54*(1+'Assumptions'!B21)^5/1000</x:f>
        <x:v>23.185481485999997</x:v>
      </x:c>
      <x:c r="H16" s="177" t="n">
        <x:f>H6*'Assumptions'!B54*(1+'Assumptions'!B21)^6/1000</x:f>
        <x:v>34.030490451076496</x:v>
      </x:c>
      <x:c r="I16" s="177" t="n">
        <x:f>I6*'Assumptions'!B54*(1+'Assumptions'!B21)^7/1000</x:f>
        <x:v>48.88748615063858</x:v>
      </x:c>
      <x:c r="J16" s="177" t="n">
        <x:f>J6*'Assumptions'!B54*(1+'Assumptions'!B21)^8/1000</x:f>
        <x:v>68.08889187458435</x:v>
      </x:c>
      <x:c r="K16" s="177" t="n">
        <x:f>K6*'Assumptions'!B54*(1+'Assumptions'!B21)^9/1000</x:f>
        <x:v>91.66031616400443</x:v>
      </x:c>
      <x:c r="L16" s="177" t="n">
        <x:f>L6*'Assumptions'!B54*(1+'Assumptions'!B21)^10/1000</x:f>
        <x:v>119.2725786667908</x:v>
      </x:c>
      <x:c r="M16" s="177" t="n">
        <x:f>M6*'Assumptions'!B54*(1+'Assumptions'!B21)^11/1000</x:f>
        <x:v>151.22755037664567</x:v>
      </x:c>
      <x:c r="N16" s="177" t="n">
        <x:f>N6*'Assumptions'!B54*(1+'Assumptions'!B21)^12/1000</x:f>
        <x:v>182.8538337380224</x:v>
      </x:c>
      <x:c r="O16" s="177" t="n">
        <x:f>O6*'Assumptions'!B54*(1+'Assumptions'!B21)^13/1000</x:f>
        <x:v>217.34298959083145</x:v>
      </x:c>
      <x:c r="P16" s="177" t="n">
        <x:f>P6*'Assumptions'!B54*(1+'Assumptions'!B21)^14/1000</x:f>
        <x:v>255.24951606929997</x:v>
      </x:c>
      <x:c r="Q16" s="177" t="n">
        <x:f>Q6*'Assumptions'!B54*(1+'Assumptions'!B21)^15/1000</x:f>
        <x:v>287.8344802169912</x:v>
      </x:c>
      <x:c r="R16" s="177" t="n">
        <x:f>R6*'Assumptions'!B54*(1+'Assumptions'!B21)^16/1000</x:f>
        <x:v>307.7024596971924</x:v>
      </x:c>
      <x:c r="S16" s="177" t="n">
        <x:f>S6*'Assumptions'!B54*(1+'Assumptions'!B21)^17/1000</x:f>
        <x:v>323.13171210912725</x:v>
      </x:c>
      <x:c r="T16" s="177" t="n">
        <x:f>T6*'Assumptions'!B54*(1+'Assumptions'!B21)^18/1000</x:f>
        <x:v>338.3585709214308</x:v>
      </x:c>
      <x:c r="U16" s="177" t="n">
        <x:f>U6*'Assumptions'!B54*(1+'Assumptions'!B21)^19/1000</x:f>
        <x:v>354.20822272157426</x:v>
      </x:c>
    </x:row>
    <x:row r="17">
      <x:c r="A17" s="163" t="str">
        <x:v>Enterprise / Data Sales payroll</x:v>
      </x:c>
      <x:c r="B17" s="177" t="n">
        <x:f>B7*'Assumptions'!B55*(1+'Assumptions'!B21)^0/1000</x:f>
        <x:v>2.1</x:v>
      </x:c>
      <x:c r="C17" s="177" t="n">
        <x:f>C7*'Assumptions'!B55*(1+'Assumptions'!B21)^1/1000</x:f>
        <x:v>3.2445</x:v>
      </x:c>
      <x:c r="D17" s="177" t="n">
        <x:f>D7*'Assumptions'!B55*(1+'Assumptions'!B21)^2/1000</x:f>
        <x:v>5.3469359999999995</x:v>
      </x:c>
      <x:c r="E17" s="177" t="n">
        <x:f>E7*'Assumptions'!B55*(1+'Assumptions'!B21)^3/1000</x:f>
        <x:v>8.94943413</x:v>
      </x:c>
      <x:c r="F17" s="177" t="n">
        <x:f>F7*'Assumptions'!B55*(1+'Assumptions'!B21)^4/1000</x:f>
        <x:v>14.4177678561</x:v>
      </x:c>
      <x:c r="G17" s="177" t="n">
        <x:f>G7*'Assumptions'!B55*(1+'Assumptions'!B21)^5/1000</x:f>
        <x:v>22.397175115476</x:v>
      </x:c>
      <x:c r="H17" s="177" t="n">
        <x:f>H7*'Assumptions'!B55*(1+'Assumptions'!B21)^6/1000</x:f>
        <x:v>33.34988064205497</x:v>
      </x:c>
      <x:c r="I17" s="177" t="n">
        <x:f>I7*'Assumptions'!B55*(1+'Assumptions'!B21)^7/1000</x:f>
        <x:v>48.297146695234645</x:v>
      </x:c>
      <x:c r="J17" s="177" t="n">
        <x:f>J7*'Assumptions'!B55*(1+'Assumptions'!B21)^8/1000</x:f>
        <x:v>67.83553785830684</x:v>
      </x:c>
      <x:c r="K17" s="177" t="n">
        <x:f>K7*'Assumptions'!B55*(1+'Assumptions'!B21)^9/1000</x:f>
        <x:v>91.79079348238736</x:v>
      </x:c>
      <x:c r="L17" s="177" t="n">
        <x:f>L7*'Assumptions'!B55*(1+'Assumptions'!B21)^10/1000</x:f>
        <x:v>120.22675929612514</x:v>
      </x:c>
      <x:c r="M17" s="177" t="n">
        <x:f>M7*'Assumptions'!B55*(1+'Assumptions'!B21)^11/1000</x:f>
        <x:v>153.19316247307438</x:v>
      </x:c>
      <x:c r="N17" s="177" t="n">
        <x:f>N7*'Assumptions'!B55*(1+'Assumptions'!B21)^12/1000</x:f>
        <x:v>182.9393793912332</x:v>
      </x:c>
      <x:c r="O17" s="177" t="n">
        <x:f>O7*'Assumptions'!B55*(1+'Assumptions'!B21)^13/1000</x:f>
        <x:v>213.7157113186061</x:v>
      </x:c>
      <x:c r="P17" s="177" t="n">
        <x:f>P7*'Assumptions'!B55*(1+'Assumptions'!B21)^14/1000</x:f>
        <x:v>247.44455308904762</x:v>
      </x:c>
      <x:c r="Q17" s="177" t="n">
        <x:f>Q7*'Assumptions'!B55*(1+'Assumptions'!B21)^15/1000</x:f>
        <x:v>274.4982791308887</x:v>
      </x:c>
      <x:c r="R17" s="177" t="n">
        <x:f>R7*'Assumptions'!B55*(1+'Assumptions'!B21)^16/1000</x:f>
        <x:v>288.12504114018725</x:v>
      </x:c>
      <x:c r="S17" s="177" t="n">
        <x:f>S7*'Assumptions'!B55*(1+'Assumptions'!B21)^17/1000</x:f>
        <x:v>296.76879237439283</x:v>
      </x:c>
      <x:c r="T17" s="177" t="n">
        <x:f>T7*'Assumptions'!B55*(1+'Assumptions'!B21)^18/1000</x:f>
        <x:v>305.67185614562464</x:v>
      </x:c>
      <x:c r="U17" s="177" t="n">
        <x:f>U7*'Assumptions'!B55*(1+'Assumptions'!B21)^19/1000</x:f>
        <x:v>314.84201182999334</x:v>
      </x:c>
    </x:row>
    <x:row r="18">
      <x:c r="A18" s="163" t="str">
        <x:v>Merchant Partnerships / Field Ops payroll</x:v>
      </x:c>
      <x:c r="B18" s="177" t="n">
        <x:f>B8*'Assumptions'!B56*(1+'Assumptions'!B21)^0/1000</x:f>
        <x:v>0.98</x:v>
      </x:c>
      <x:c r="C18" s="177" t="n">
        <x:f>C8*'Assumptions'!B56*(1+'Assumptions'!B21)^1/1000</x:f>
        <x:v>1.2978</x:v>
      </x:c>
      <x:c r="D18" s="177" t="n">
        <x:f>D8*'Assumptions'!B56*(1+'Assumptions'!B21)^2/1000</x:f>
        <x:v>1.930838</x:v>
      </x:c>
      <x:c r="E18" s="177" t="n">
        <x:f>E8*'Assumptions'!B56*(1+'Assumptions'!B21)^3/1000</x:f>
        <x:v>3.0596356</x:v>
      </x:c>
      <x:c r="F18" s="177" t="n">
        <x:f>F8*'Assumptions'!B56*(1+'Assumptions'!B21)^4/1000</x:f>
        <x:v>4.727137001999999</x:v>
      </x:c>
      <x:c r="G18" s="177" t="n">
        <x:f>G8*'Assumptions'!B56*(1+'Assumptions'!B21)^5/1000</x:f>
        <x:v>7.303426668089999</x:v>
      </x:c>
      <x:c r="H18" s="177" t="n">
        <x:f>H8*'Assumptions'!B56*(1+'Assumptions'!B21)^6/1000</x:f>
        <x:v>10.364373933871718</x:v>
      </x:c>
      <x:c r="I18" s="177" t="n">
        <x:f>I8*'Assumptions'!B56*(1+'Assumptions'!B21)^7/1000</x:f>
        <x:v>14.635498998555953</x:v>
      </x:c>
      <x:c r="J18" s="177" t="n">
        <x:f>J8*'Assumptions'!B56*(1+'Assumptions'!B21)^8/1000</x:f>
        <x:v>20.040302687552085</x:v>
      </x:c>
      <x:c r="K18" s="177" t="n">
        <x:f>K8*'Assumptions'!B56*(1+'Assumptions'!B21)^9/1000</x:f>
        <x:v>26.486895631733663</x:v>
      </x:c>
      <x:c r="L18" s="177" t="n">
        <x:f>L8*'Assumptions'!B56*(1+'Assumptions'!B21)^10/1000</x:f>
        <x:v>33.6785444663637</x:v>
      </x:c>
      <x:c r="M18" s="177" t="n">
        <x:f>M8*'Assumptions'!B56*(1+'Assumptions'!B21)^11/1000</x:f>
        <x:v>42.053024992608655</x:v>
      </x:c>
      <x:c r="N18" s="177" t="n">
        <x:f>N8*'Assumptions'!B56*(1+'Assumptions'!B21)^12/1000</x:f>
        <x:v>51.69808975704243</x:v>
      </x:c>
      <x:c r="O18" s="177" t="n">
        <x:f>O8*'Assumptions'!B56*(1+'Assumptions'!B21)^13/1000</x:f>
        <x:v>62.70638956438178</x:v>
      </x:c>
      <x:c r="P18" s="177" t="n">
        <x:f>P8*'Assumptions'!B56*(1+'Assumptions'!B21)^14/1000</x:f>
        <x:v>74.75218420233959</x:v>
      </x:c>
      <x:c r="Q18" s="177" t="n">
        <x:f>Q8*'Assumptions'!B56*(1+'Assumptions'!B21)^15/1000</x:f>
        <x:v>87.68240620629102</x:v>
      </x:c>
      <x:c r="R18" s="177" t="n">
        <x:f>R8*'Assumptions'!B56*(1+'Assumptions'!B21)^16/1000</x:f>
        <x:v>100.87184676174975</x:v>
      </x:c>
      <x:c r="S18" s="177" t="n">
        <x:f>S8*'Assumptions'!B56*(1+'Assumptions'!B21)^17/1000</x:f>
        <x:v>114.07954357939624</x:v>
      </x:c>
      <x:c r="T18" s="177" t="n">
        <x:f>T8*'Assumptions'!B56*(1+'Assumptions'!B21)^18/1000</x:f>
        <x:v>126.797214401148</x:v>
      </x:c>
      <x:c r="U18" s="177" t="n">
        <x:f>U8*'Assumptions'!B56*(1+'Assumptions'!B21)^19/1000</x:f>
        <x:v>139.68429218812182</x:v>
      </x:c>
    </x:row>
    <x:row r="19">
      <x:c r="A19" s="163" t="str">
        <x:v>Public Sector / Regulatory payroll</x:v>
      </x:c>
      <x:c r="B19" s="177" t="n">
        <x:f>B9*'Assumptions'!B57*(1+'Assumptions'!B21)^0/1000</x:f>
        <x:v>0.57</x:v>
      </x:c>
      <x:c r="C19" s="177" t="n">
        <x:f>C9*'Assumptions'!B57*(1+'Assumptions'!B21)^1/1000</x:f>
        <x:v>0.7828</x:v>
      </x:c>
      <x:c r="D19" s="177" t="n">
        <x:f>D9*'Assumptions'!B57*(1+'Assumptions'!B21)^2/1000</x:f>
        <x:v>1.007855</x:v>
      </x:c>
      <x:c r="E19" s="177" t="n">
        <x:f>E9*'Assumptions'!B57*(1+'Assumptions'!B21)^3/1000</x:f>
        <x:v>1.66094504</x:v>
      </x:c>
      <x:c r="F19" s="177" t="n">
        <x:f>F9*'Assumptions'!B57*(1+'Assumptions'!B21)^4/1000</x:f>
        <x:v>2.5661600867999996</x:v>
      </x:c>
      <x:c r="G19" s="177" t="n">
        <x:f>G9*'Assumptions'!B57*(1+'Assumptions'!B21)^5/1000</x:f>
        <x:v>3.7444552599889995</x:v>
      </x:c>
      <x:c r="H19" s="177" t="n">
        <x:f>H9*'Assumptions'!B57*(1+'Assumptions'!B21)^6/1000</x:f>
        <x:v>5.67174840851275</x:v>
      </x:c>
      <x:c r="I19" s="177" t="n">
        <x:f>I9*'Assumptions'!B57*(1+'Assumptions'!B21)^7/1000</x:f>
        <x:v>8.646013273936836</x:v>
      </x:c>
      <x:c r="J19" s="177" t="n">
        <x:f>J9*'Assumptions'!B57*(1+'Assumptions'!B21)^8/1000</x:f>
        <x:v>12.515688404109646</x:v>
      </x:c>
      <x:c r="K19" s="177" t="n">
        <x:f>K9*'Assumptions'!B57*(1+'Assumptions'!B21)^9/1000</x:f>
        <x:v>17.849297154784065</x:v>
      </x:c>
      <x:c r="L19" s="177" t="n">
        <x:f>L9*'Assumptions'!B57*(1+'Assumptions'!B21)^10/1000</x:f>
        <x:v>24.51303475923678</x:v>
      </x:c>
      <x:c r="M19" s="177" t="n">
        <x:f>M9*'Assumptions'!B57*(1+'Assumptions'!B21)^11/1000</x:f>
        <x:v>32.61254999426794</x:v>
      </x:c>
      <x:c r="N19" s="177" t="n">
        <x:f>N9*'Assumptions'!B57*(1+'Assumptions'!B21)^12/1000</x:f>
        <x:v>35.75808304210216</x:v>
      </x:c>
      <x:c r="O19" s="177" t="n">
        <x:f>O9*'Assumptions'!B57*(1+'Assumptions'!B21)^13/1000</x:f>
        <x:v>37.38886834447682</x:v>
      </x:c>
      <x:c r="P19" s="177" t="n">
        <x:f>P9*'Assumptions'!B57*(1+'Assumptions'!B21)^14/1000</x:f>
        <x:v>39.37271053797854</x:v>
      </x:c>
      <x:c r="Q19" s="177" t="n">
        <x:f>Q9*'Assumptions'!B57*(1+'Assumptions'!B21)^15/1000</x:f>
        <x:v>41.44193328158033</x:v>
      </x:c>
      <x:c r="R19" s="177" t="n">
        <x:f>R9*'Assumptions'!B57*(1+'Assumptions'!B21)^16/1000</x:f>
        <x:v>43.59987395031405</x:v>
      </x:c>
      <x:c r="S19" s="177" t="n">
        <x:f>S9*'Assumptions'!B57*(1+'Assumptions'!B21)^17/1000</x:f>
        <x:v>46.16403436935</x:v>
      </x:c>
      <x:c r="T19" s="177" t="n">
        <x:f>T9*'Assumptions'!B57*(1+'Assumptions'!B21)^18/1000</x:f>
        <x:v>48.195879963701664</x:v>
      </x:c>
      <x:c r="U19" s="177" t="n">
        <x:f>U9*'Assumptions'!B57*(1+'Assumptions'!B21)^19/1000</x:f>
        <x:v>50.641254812866656</x:v>
      </x:c>
    </x:row>
    <x:row r="20">
      <x:c r="A20" s="163" t="str">
        <x:v>Customer Support / Trust &amp; Safety payroll</x:v>
      </x:c>
      <x:c r="B20" s="177" t="n">
        <x:f>B10*'Assumptions'!B58*(1+'Assumptions'!B21)^0/1000</x:f>
        <x:v>0.55</x:v>
      </x:c>
      <x:c r="C20" s="177" t="n">
        <x:f>C10*'Assumptions'!B58*(1+'Assumptions'!B21)^1/1000</x:f>
        <x:v>0.7931</x:v>
      </x:c>
      <x:c r="D20" s="177" t="n">
        <x:f>D10*'Assumptions'!B58*(1+'Assumptions'!B21)^2/1000</x:f>
        <x:v>1.0502909999999999</x:v>
      </x:c>
      <x:c r="E20" s="177" t="n">
        <x:f>E10*'Assumptions'!B58*(1+'Assumptions'!B21)^3/1000</x:f>
        <x:v>1.80299955</x:v>
      </x:c>
      <x:c r="F20" s="177" t="n">
        <x:f>F10*'Assumptions'!B58*(1+'Assumptions'!B21)^4/1000</x:f>
        <x:v>3.0951492274999994</x:v>
      </x:c>
      <x:c r="G20" s="177" t="n">
        <x:f>G10*'Assumptions'!B58*(1+'Assumptions'!B21)^5/1000</x:f>
        <x:v>4.973285778746999</x:v>
      </x:c>
      <x:c r="H20" s="177" t="n">
        <x:f>H10*'Assumptions'!B58*(1+'Assumptions'!B21)^6/1000</x:f>
        <x:v>7.6180536518550195</x:v>
      </x:c>
      <x:c r="I20" s="177" t="n">
        <x:f>I10*'Assumptions'!B58*(1+'Assumptions'!B21)^7/1000</x:f>
        <x:v>11.364034516525798</x:v>
      </x:c>
      <x:c r="J20" s="177" t="n">
        <x:f>J10*'Assumptions'!B58*(1+'Assumptions'!B21)^8/1000</x:f>
        <x:v>16.024641529553342</x:v>
      </x:c>
      <x:c r="K20" s="177" t="n">
        <x:f>K10*'Assumptions'!B58*(1+'Assumptions'!B21)^9/1000</x:f>
        <x:v>21.959332683846185</x:v>
      </x:c>
      <x:c r="L20" s="177" t="n">
        <x:f>L10*'Assumptions'!B58*(1+'Assumptions'!B21)^10/1000</x:f>
        <x:v>28.974837138659264</x:v>
      </x:c>
      <x:c r="M20" s="177" t="n">
        <x:f>M10*'Assumptions'!B58*(1+'Assumptions'!B21)^11/1000</x:f>
        <x:v>37.00057136446443</x:v>
      </x:c>
      <x:c r="N20" s="177" t="n">
        <x:f>N10*'Assumptions'!B58*(1+'Assumptions'!B21)^12/1000</x:f>
        <x:v>46.265940778158495</x:v>
      </x:c>
      <x:c r="O20" s="177" t="n">
        <x:f>O10*'Assumptions'!B58*(1+'Assumptions'!B21)^13/1000</x:f>
        <x:v>56.86162538484456</x:v>
      </x:c>
      <x:c r="P20" s="177" t="n">
        <x:f>P10*'Assumptions'!B58*(1+'Assumptions'!B21)^14/1000</x:f>
        <x:v>68.88333606990174</x:v>
      </x:c>
      <x:c r="Q20" s="177" t="n">
        <x:f>Q10*'Assumptions'!B58*(1+'Assumptions'!B21)^15/1000</x:f>
        <x:v>81.9179267648682</x:v>
      </x:c>
      <x:c r="R20" s="177" t="n">
        <x:f>R10*'Assumptions'!B58*(1+'Assumptions'!B21)^16/1000</x:f>
        <x:v>95.84911560737055</x:v>
      </x:c>
      <x:c r="S20" s="177" t="n">
        <x:f>S10*'Assumptions'!B58*(1+'Assumptions'!B21)^17/1000</x:f>
        <x:v>110.17882316723491</x:v>
      </x:c>
      <x:c r="T20" s="177" t="n">
        <x:f>T10*'Assumptions'!B58*(1+'Assumptions'!B21)^18/1000</x:f>
        <x:v>124.53297842969893</x:v>
      </x:c>
      <x:c r="U20" s="177" t="n">
        <x:f>U10*'Assumptions'!B58*(1+'Assumptions'!B21)^19/1000</x:f>
        <x:v>138.1061367403524</x:v>
      </x:c>
    </x:row>
    <x:row r="21">
      <x:c r="A21" s="163" t="str">
        <x:v>G&amp;A payroll</x:v>
      </x:c>
      <x:c r="B21" s="177" t="n">
        <x:f>B11*'Assumptions'!B59*(1+'Assumptions'!B21)^0/1000</x:f>
        <x:v>1.48</x:v>
      </x:c>
      <x:c r="C21" s="177" t="n">
        <x:f>C11*'Assumptions'!B59*(1+'Assumptions'!B21)^1/1000</x:f>
        <x:v>1.5244000000000002</x:v>
      </x:c>
      <x:c r="D21" s="177" t="n">
        <x:f>D11*'Assumptions'!B59*(1+'Assumptions'!B21)^2/1000</x:f>
        <x:v>1.9626649999999999</x:v>
      </x:c>
      <x:c r="E21" s="177" t="n">
        <x:f>E11*'Assumptions'!B59*(1+'Assumptions'!B21)^3/1000</x:f>
        <x:v>2.42585394</x:v>
      </x:c>
      <x:c r="F21" s="177" t="n">
        <x:f>F11*'Assumptions'!B59*(1+'Assumptions'!B21)^4/1000</x:f>
        <x:v>3.3315060775999994</x:v>
      </x:c>
      <x:c r="G21" s="177" t="n">
        <x:f>G11*'Assumptions'!B59*(1+'Assumptions'!B21)^5/1000</x:f>
        <x:v>4.718245482401</x:v>
      </x:c>
      <x:c r="H21" s="177" t="n">
        <x:f>H11*'Assumptions'!B59*(1+'Assumptions'!B21)^6/1000</x:f>
        <x:v>6.406090570878085</x:v>
      </x:c>
      <x:c r="I21" s="177" t="n">
        <x:f>I11*'Assumptions'!B59*(1+'Assumptions'!B21)^7/1000</x:f>
        <x:v>8.873539939040436</x:v>
      </x:c>
      <x:c r="J21" s="177" t="n">
        <x:f>J11*'Assumptions'!B59*(1+'Assumptions'!B21)^8/1000</x:f>
        <x:v>11.951975717892156</x:v>
      </x:c>
      <x:c r="K21" s="177" t="n">
        <x:f>K11*'Assumptions'!B59*(1+'Assumptions'!B21)^9/1000</x:f>
        <x:v>15.931280574555075</x:v>
      </x:c>
      <x:c r="L21" s="177" t="n">
        <x:f>L11*'Assumptions'!B59*(1+'Assumptions'!B21)^10/1000</x:f>
        <x:v>20.38721147465033</x:v>
      </x:c>
      <x:c r="M21" s="177" t="n">
        <x:f>M11*'Assumptions'!B59*(1+'Assumptions'!B21)^11/1000</x:f>
        <x:v>25.60832660840224</x:v>
      </x:c>
      <x:c r="N21" s="177" t="n">
        <x:f>N11*'Assumptions'!B59*(1+'Assumptions'!B21)^12/1000</x:f>
        <x:v>30.860594395785537</x:v>
      </x:c>
      <x:c r="O21" s="177" t="n">
        <x:f>O11*'Assumptions'!B59*(1+'Assumptions'!B21)^13/1000</x:f>
        <x:v>36.40495075646427</x:v>
      </x:c>
      <x:c r="P21" s="177" t="n">
        <x:f>P11*'Assumptions'!B59*(1+'Assumptions'!B21)^14/1000</x:f>
        <x:v>42.81385216202392</x:v>
      </x:c>
      <x:c r="Q21" s="177" t="n">
        <x:f>Q11*'Assumptions'!B59*(1+'Assumptions'!B21)^15/1000</x:f>
        <x:v>48.7098512800229</x:v>
      </x:c>
      <x:c r="R21" s="177" t="n">
        <x:f>R11*'Assumptions'!B59*(1+'Assumptions'!B21)^16/1000</x:f>
        <x:v>54.030465804456156</x:v>
      </x:c>
      <x:c r="S21" s="177" t="n">
        <x:f>S11*'Assumptions'!B59*(1+'Assumptions'!B21)^17/1000</x:f>
        <x:v>59.01492471026286</x:v>
      </x:c>
      <x:c r="T21" s="177" t="n">
        <x:f>T11*'Assumptions'!B59*(1+'Assumptions'!B21)^18/1000</x:f>
        <x:v>63.61992349853519</x:v>
      </x:c>
      <x:c r="U21" s="177" t="n">
        <x:f>U11*'Assumptions'!B59*(1+'Assumptions'!B21)^19/1000</x:f>
        <x:v>68.4481087818646</x:v>
      </x:c>
    </x:row>
    <x:row r="22">
      <x:c r="A22" s="181" t="str">
        <x:v>Total payroll</x:v>
      </x:c>
      <x:c r="B22" s="182" t="n">
        <x:f>SUM(B15:B21)</x:f>
        <x:v>11.540000000000001</x:v>
      </x:c>
      <x:c r="C22" s="182" t="n">
        <x:f>SUM(C15:C21)</x:f>
        <x:v>14.935000000000002</x:v>
      </x:c>
      <x:c r="D22" s="182" t="n">
        <x:f>SUM(D15:D21)</x:f>
        <x:v>21.599924</x:v>
      </x:c>
      <x:c r="E22" s="182" t="n">
        <x:f>SUM(E15:E21)</x:f>
        <x:v>33.95102789</x:v>
      </x:c>
      <x:c r="F22" s="182" t="n">
        <x:f>SUM(F15:F21)</x:f>
        <x:v>53.48417865119999</x:v>
      </x:c>
      <x:c r="G22" s="182" t="n">
        <x:f>SUM(G15:G21)</x:f>
        <x:v>82.13456816415498</x:v>
      </x:c>
      <x:c r="H22" s="182" t="n">
        <x:f>SUM(H15:H21)</x:f>
        <x:v>121.08287312952325</x:v>
      </x:c>
      <x:c r="I22" s="182" t="n">
        <x:f>SUM(I15:I21)</x:f>
        <x:v>175.06639537390313</x:v>
      </x:c>
      <x:c r="J22" s="182" t="n">
        <x:f>SUM(J15:J21)</x:f>
        <x:v>244.11292853380053</x:v>
      </x:c>
      <x:c r="K22" s="182" t="n">
        <x:f>SUM(K15:K21)</x:f>
        <x:v>330.2641882908583</x:v>
      </x:c>
      <x:c r="L22" s="182" t="n">
        <x:f>SUM(L15:L21)</x:f>
        <x:v>431.6121843901581</x:v>
      </x:c>
      <x:c r="M22" s="182" t="n">
        <x:f>SUM(M15:M21)</x:f>
        <x:v>549.1947882099237</x:v>
      </x:c>
      <x:c r="N22" s="182" t="n">
        <x:f>SUM(N15:N21)</x:f>
        <x:v>664.3118988126741</x:v>
      </x:c>
      <x:c r="O22" s="182" t="n">
        <x:f>SUM(O15:O21)</x:f>
        <x:v>788.5438627749517</x:v>
      </x:c>
      <x:c r="P22" s="182" t="n">
        <x:f>SUM(P15:P21)</x:f>
        <x:v>926.8469168535935</x:v>
      </x:c>
      <x:c r="Q22" s="182" t="n">
        <x:f>SUM(Q15:Q21)</x:f>
        <x:v>1057.5560722256819</x:v>
      </x:c>
      <x:c r="R22" s="182" t="n">
        <x:f>SUM(R15:R21)</x:f>
        <x:v>1164.8403570774185</x:v>
      </x:c>
      <x:c r="S22" s="182" t="n">
        <x:f>SUM(S15:S21)</x:f>
        <x:v>1264.9656141683777</x:v>
      </x:c>
      <x:c r="T22" s="182" t="n">
        <x:f>SUM(T15:T21)</x:f>
        <x:v>1362.9849331592789</x:v>
      </x:c>
      <x:c r="U22" s="182" t="n">
        <x:f>SUM(U15:U21)</x:f>
        <x:v>1460.5740993803056</x:v>
      </x:c>
    </x:row>
    <x:row r="23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  <x:c r="M23" s="163"/>
      <x:c r="N23" s="163"/>
      <x:c r="O23" s="163"/>
      <x:c r="P23" s="163"/>
      <x:c r="Q23" s="163"/>
      <x:c r="R23" s="163"/>
      <x:c r="S23" s="163"/>
      <x:c r="T23" s="163"/>
      <x:c r="U23" s="163"/>
    </x:row>
    <x:row r="24" ht="20" customHeight="1">
      <x:c r="A24" s="176" t="str">
        <x:v>Direct Cost / Gross Profit Build ($mm)</x:v>
      </x:c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  <x:c r="S24" s="176"/>
      <x:c r="T24" s="176"/>
      <x:c r="U24" s="176"/>
    </x:row>
    <x:row r="25">
      <x:c r="A25" s="163" t="str">
        <x:v>Network partner revenue share</x:v>
      </x:c>
      <x:c r="B25" s="177" t="n">
        <x:f>('Revenue Build'!B11+'Revenue Build'!B16+'Revenue Build'!B22+'Revenue Build'!B27)*'Assumptions'!B6</x:f>
        <x:v>0.3506699999999999</x:v>
      </x:c>
      <x:c r="C25" s="177" t="n">
        <x:f>('Revenue Build'!C11+'Revenue Build'!C16+'Revenue Build'!C22+'Revenue Build'!C27)*'Assumptions'!B6</x:f>
        <x:v>0.90798375</x:v>
      </x:c>
      <x:c r="D25" s="177" t="n">
        <x:f>('Revenue Build'!D11+'Revenue Build'!D16+'Revenue Build'!D22+'Revenue Build'!D27)*'Assumptions'!B6</x:f>
        <x:v>2.0739892499999995</x:v>
      </x:c>
      <x:c r="E25" s="177" t="n">
        <x:f>('Revenue Build'!E11+'Revenue Build'!E16+'Revenue Build'!E22+'Revenue Build'!E27)*'Assumptions'!B6</x:f>
        <x:v>4.3617773999999985</x:v>
      </x:c>
      <x:c r="F25" s="177" t="n">
        <x:f>('Revenue Build'!F11+'Revenue Build'!F16+'Revenue Build'!F22+'Revenue Build'!F27)*'Assumptions'!B6</x:f>
        <x:v>8.215267703999999</x:v>
      </x:c>
      <x:c r="G25" s="177" t="n">
        <x:f>('Revenue Build'!G11+'Revenue Build'!G16+'Revenue Build'!G22+'Revenue Build'!G27)*'Assumptions'!B6</x:f>
        <x:v>14.48615134134</x:v>
      </x:c>
      <x:c r="H25" s="177" t="n">
        <x:f>('Revenue Build'!H11+'Revenue Build'!H16+'Revenue Build'!H22+'Revenue Build'!H27)*'Assumptions'!B6</x:f>
        <x:v>23.725925883743997</x:v>
      </x:c>
      <x:c r="I25" s="177" t="n">
        <x:f>('Revenue Build'!I11+'Revenue Build'!I16+'Revenue Build'!I22+'Revenue Build'!I27)*'Assumptions'!B6</x:f>
        <x:v>37.516532308147205</x:v>
      </x:c>
      <x:c r="J25" s="177" t="n">
        <x:f>('Revenue Build'!J11+'Revenue Build'!J16+'Revenue Build'!J22+'Revenue Build'!J27)*'Assumptions'!B6</x:f>
        <x:v>57.30966771701472</x:v>
      </x:c>
      <x:c r="K25" s="177" t="n">
        <x:f>('Revenue Build'!K11+'Revenue Build'!K16+'Revenue Build'!K22+'Revenue Build'!K27)*'Assumptions'!B6</x:f>
        <x:v>82.86704871591647</x:v>
      </x:c>
      <x:c r="L25" s="177" t="n">
        <x:f>('Revenue Build'!L11+'Revenue Build'!L16+'Revenue Build'!L22+'Revenue Build'!L27)*'Assumptions'!B6</x:f>
        <x:v>115.45570130375384</x:v>
      </x:c>
      <x:c r="M25" s="177" t="n">
        <x:f>('Revenue Build'!M11+'Revenue Build'!M16+'Revenue Build'!M22+'Revenue Build'!M27)*'Assumptions'!B6</x:f>
        <x:v>156.30252498201224</x:v>
      </x:c>
      <x:c r="N25" s="177" t="n">
        <x:f>('Revenue Build'!N11+'Revenue Build'!N16+'Revenue Build'!N22+'Revenue Build'!N27)*'Assumptions'!B6</x:f>
        <x:v>190.08621825504906</x:v>
      </x:c>
      <x:c r="O25" s="177" t="n">
        <x:f>('Revenue Build'!O11+'Revenue Build'!O16+'Revenue Build'!O22+'Revenue Build'!O27)*'Assumptions'!B6</x:f>
        <x:v>225.49912612399882</x:v>
      </x:c>
      <x:c r="P25" s="177" t="n">
        <x:f>('Revenue Build'!P11+'Revenue Build'!P16+'Revenue Build'!P22+'Revenue Build'!P27)*'Assumptions'!B6</x:f>
        <x:v>266.10331962977153</x:v>
      </x:c>
      <x:c r="Q25" s="177" t="n">
        <x:f>('Revenue Build'!Q11+'Revenue Build'!Q16+'Revenue Build'!Q22+'Revenue Build'!Q27)*'Assumptions'!B6</x:f>
        <x:v>299.5061799207743</x:v>
      </x:c>
      <x:c r="R25" s="177" t="n">
        <x:f>('Revenue Build'!R11+'Revenue Build'!R16+'Revenue Build'!R22+'Revenue Build'!R27)*'Assumptions'!B6</x:f>
        <x:v>322.75923978294793</x:v>
      </x:c>
      <x:c r="S25" s="177" t="n">
        <x:f>('Revenue Build'!S11+'Revenue Build'!S16+'Revenue Build'!S22+'Revenue Build'!S27)*'Assumptions'!B6</x:f>
        <x:v>340.0375463425398</x:v>
      </x:c>
      <x:c r="T25" s="177" t="n">
        <x:f>('Revenue Build'!T11+'Revenue Build'!T16+'Revenue Build'!T22+'Revenue Build'!T27)*'Assumptions'!B6</x:f>
        <x:v>358.12908624920266</x:v>
      </x:c>
      <x:c r="U25" s="177" t="n">
        <x:f>('Revenue Build'!U11+'Revenue Build'!U16+'Revenue Build'!U22+'Revenue Build'!U27)*'Assumptions'!B6</x:f>
        <x:v>376.40349174305953</x:v>
      </x:c>
    </x:row>
    <x:row r="26">
      <x:c r="A26" s="163" t="str">
        <x:v>Subscription payment / collection cost</x:v>
      </x:c>
      <x:c r="B26" s="177" t="n">
        <x:f>'Revenue Build'!B6*'Assumptions'!B7</x:f>
        <x:v>0.064</x:v>
      </x:c>
      <x:c r="C26" s="177" t="n">
        <x:f>'Revenue Build'!C6*'Assumptions'!B7</x:f>
        <x:v>0.22400000000000003</x:v>
      </x:c>
      <x:c r="D26" s="177" t="n">
        <x:f>'Revenue Build'!D6*'Assumptions'!B7</x:f>
        <x:v>0.672</x:v>
      </x:c>
      <x:c r="E26" s="177" t="n">
        <x:f>'Revenue Build'!E6*'Assumptions'!B7</x:f>
        <x:v>1.68</x:v>
      </x:c>
      <x:c r="F26" s="177" t="n">
        <x:f>'Revenue Build'!F6*'Assumptions'!B7</x:f>
        <x:v>3.36</x:v>
      </x:c>
      <x:c r="G26" s="177" t="n">
        <x:f>'Revenue Build'!G6*'Assumptions'!B7</x:f>
        <x:v>5.88</x:v>
      </x:c>
      <x:c r="H26" s="177" t="n">
        <x:f>'Revenue Build'!H6*'Assumptions'!B7</x:f>
        <x:v>9.408000000000001</x:v>
      </x:c>
      <x:c r="I26" s="177" t="n">
        <x:f>'Revenue Build'!I6*'Assumptions'!B7</x:f>
        <x:v>14.112</x:v>
      </x:c>
      <x:c r="J26" s="177" t="n">
        <x:f>'Revenue Build'!J6*'Assumptions'!B7</x:f>
        <x:v>19.7568</x:v>
      </x:c>
      <x:c r="K26" s="177" t="n">
        <x:f>'Revenue Build'!K6*'Assumptions'!B7</x:f>
        <x:v>26.671680000000002</x:v>
      </x:c>
      <x:c r="L26" s="177" t="n">
        <x:f>'Revenue Build'!L6*'Assumptions'!B7</x:f>
        <x:v>34.673184</x:v>
      </x:c>
      <x:c r="M26" s="177" t="n">
        <x:f>'Revenue Build'!M6*'Assumptions'!B7</x:f>
        <x:v>43.341480000000004</x:v>
      </x:c>
      <x:c r="N26" s="177" t="n">
        <x:f>'Revenue Build'!N6*'Assumptions'!B7</x:f>
        <x:v>52.876605600000005</x:v>
      </x:c>
      <x:c r="O26" s="177" t="n">
        <x:f>'Revenue Build'!O6*'Assumptions'!B7</x:f>
        <x:v>63.45192672</x:v>
      </x:c>
      <x:c r="P26" s="177" t="n">
        <x:f>'Revenue Build'!P6*'Assumptions'!B7</x:f>
        <x:v>74.8732735296</x:v>
      </x:c>
      <x:c r="Q26" s="177" t="n">
        <x:f>'Revenue Build'!Q6*'Assumptions'!B7</x:f>
        <x:v>86.852997294336</x:v>
      </x:c>
      <x:c r="R26" s="177" t="n">
        <x:f>'Revenue Build'!R6*'Assumptions'!B7</x:f>
        <x:v>99.01241691554306</x:v>
      </x:c>
      <x:c r="S26" s="177" t="n">
        <x:f>'Revenue Build'!S6*'Assumptions'!B7</x:f>
        <x:v>110.89390694540823</x:v>
      </x:c>
      <x:c r="T26" s="177" t="n">
        <x:f>'Revenue Build'!T6*'Assumptions'!B7</x:f>
        <x:v>121.98329763994907</x:v>
      </x:c>
      <x:c r="U26" s="177" t="n">
        <x:f>'Revenue Build'!U6*'Assumptions'!B7</x:f>
        <x:v>131.741961451145</x:v>
      </x:c>
    </x:row>
    <x:row r="27">
      <x:c r="A27" s="163" t="str">
        <x:v>Data / cloud infrastructure</x:v>
      </x:c>
      <x:c r="B27" s="177" t="n">
        <x:f>'Operating Build'!B9*'Assumptions'!B19*(1-'Assumptions'!B20)^0</x:f>
        <x:v>0.0032</x:v>
      </x:c>
      <x:c r="C27" s="177" t="n">
        <x:f>'Operating Build'!C9*'Assumptions'!B19*(1-'Assumptions'!B20)^1</x:f>
        <x:v>0.013300000000000001</x:v>
      </x:c>
      <x:c r="D27" s="177" t="n">
        <x:f>'Operating Build'!D9*'Assumptions'!B19*(1-'Assumptions'!B20)^2</x:f>
        <x:v>0.045486000000000006</x:v>
      </x:c>
      <x:c r="E27" s="177" t="n">
        <x:f>'Operating Build'!E9*'Assumptions'!B19*(1-'Assumptions'!B20)^3</x:f>
        <x:v>0.12603412499999997</x:v>
      </x:c>
      <x:c r="F27" s="177" t="n">
        <x:f>'Operating Build'!F9*'Assumptions'!B19*(1-'Assumptions'!B20)^4</x:f>
        <x:v>0.27367410000000003</x:v>
      </x:c>
      <x:c r="G27" s="177" t="n">
        <x:f>'Operating Build'!G9*'Assumptions'!B19*(1-'Assumptions'!B20)^5</x:f>
        <x:v>0.51185609015625</x:v>
      </x:c>
      <x:c r="H27" s="177" t="n">
        <x:f>'Operating Build'!H9*'Assumptions'!B19*(1-'Assumptions'!B20)^6</x:f>
        <x:v>0.8644680633749998</x:v>
      </x:c>
      <x:c r="I27" s="177" t="n">
        <x:f>'Operating Build'!I9*'Assumptions'!B19*(1-'Assumptions'!B20)^7</x:f>
        <x:v>1.3550536893403125</x:v>
      </x:c>
      <x:c r="J27" s="177" t="n">
        <x:f>'Operating Build'!J9*'Assumptions'!B19*(1-'Assumptions'!B20)^8</x:f>
        <x:v>1.966059716533762</x:v>
      </x:c>
      <x:c r="K27" s="177" t="n">
        <x:f>'Operating Build'!K9*'Assumptions'!B19*(1-'Assumptions'!B20)^9</x:f>
        <x:v>2.731594218659096</x:v>
      </x:c>
      <x:c r="L27" s="177" t="n">
        <x:f>'Operating Build'!L9*'Assumptions'!B19*(1-'Assumptions'!B20)^10</x:f>
        <x:v>3.6330203108165984</x:v>
      </x:c>
      <x:c r="M27" s="177" t="n">
        <x:f>'Operating Build'!M9*'Assumptions'!B19*(1-'Assumptions'!B20)^11</x:f>
        <x:v>4.622369591887189</x:v>
      </x:c>
      <x:c r="N27" s="177" t="n">
        <x:f>'Operating Build'!N9*'Assumptions'!B19*(1-'Assumptions'!B20)^12</x:f>
        <x:v>5.7144814474637355</x:v>
      </x:c>
      <x:c r="O27" s="177" t="n">
        <x:f>'Operating Build'!O9*'Assumptions'!B19*(1-'Assumptions'!B20)^13</x:f>
        <x:v>6.921665653240449</x:v>
      </x:c>
      <x:c r="P27" s="177" t="n">
        <x:f>'Operating Build'!P9*'Assumptions'!B19*(1-'Assumptions'!B20)^14</x:f>
        <x:v>8.215609973593281</x:v>
      </x:c>
      <x:c r="Q27" s="177" t="n">
        <x:f>'Operating Build'!Q9*'Assumptions'!B19*(1-'Assumptions'!B20)^15</x:f>
        <x:v>9.55658009039423</x:v>
      </x:c>
      <x:c r="R27" s="177" t="n">
        <x:f>'Operating Build'!R9*'Assumptions'!B19*(1-'Assumptions'!B20)^16</x:f>
        <x:v>10.894501303049424</x:v>
      </x:c>
      <x:c r="S27" s="177" t="n">
        <x:f>'Operating Build'!S9*'Assumptions'!B19*(1-'Assumptions'!B20)^17</x:f>
        <x:v>12.171336855766816</x:v>
      </x:c>
      <x:c r="T27" s="177" t="n">
        <x:f>'Operating Build'!T9*'Assumptions'!B19*(1-'Assumptions'!B20)^18</x:f>
        <x:v>13.324715919718052</x:v>
      </x:c>
      <x:c r="U27" s="177" t="n">
        <x:f>'Operating Build'!U9*'Assumptions'!B19*(1-'Assumptions'!B20)^19</x:f>
        <x:v>13.671158533630724</x:v>
      </x:c>
    </x:row>
    <x:row r="28">
      <x:c r="A28" s="163" t="str">
        <x:v>Toilet-paper media production &amp; logistics</x:v>
      </x:c>
      <x:c r="B28" s="177" t="n">
        <x:f>'Revenue Build'!B27*'Assumptions'!B17</x:f>
        <x:v>0.0039000000000000003</x:v>
      </x:c>
      <x:c r="C28" s="177" t="n">
        <x:f>'Revenue Build'!C27*'Assumptions'!B17</x:f>
        <x:v>0.017062500000000005</x:v>
      </x:c>
      <x:c r="D28" s="177" t="n">
        <x:f>'Revenue Build'!D27*'Assumptions'!B17</x:f>
        <x:v>0.06142500000000001</x:v>
      </x:c>
      <x:c r="E28" s="177" t="n">
        <x:f>'Revenue Build'!E27*'Assumptions'!B17</x:f>
        <x:v>0.17915625</x:v>
      </x:c>
      <x:c r="F28" s="177" t="n">
        <x:f>'Revenue Build'!F27*'Assumptions'!B17</x:f>
        <x:v>0.4095000000000001</x:v>
      </x:c>
      <x:c r="G28" s="177" t="n">
        <x:f>'Revenue Build'!G27*'Assumptions'!B17</x:f>
        <x:v>0.8062031250000001</x:v>
      </x:c>
      <x:c r="H28" s="177" t="n">
        <x:f>'Revenue Build'!H27*'Assumptions'!B17</x:f>
        <x:v>1.43325</x:v>
      </x:c>
      <x:c r="I28" s="177" t="n">
        <x:f>'Revenue Build'!I27*'Assumptions'!B17</x:f>
        <x:v>2.3648625</x:v>
      </x:c>
      <x:c r="J28" s="177" t="n">
        <x:f>'Revenue Build'!J27*'Assumptions'!B17</x:f>
        <x:v>3.611789999999999</x:v>
      </x:c>
      <x:c r="K28" s="177" t="n">
        <x:f>'Revenue Build'!K27*'Assumptions'!B17</x:f>
        <x:v>5.2822428750000014</x:v>
      </x:c>
      <x:c r="L28" s="177" t="n">
        <x:f>'Revenue Build'!L27*'Assumptions'!B17</x:f>
        <x:v>7.395140025000001</x:v>
      </x:c>
      <x:c r="M28" s="177" t="n">
        <x:f>'Revenue Build'!M27*'Assumptions'!B17</x:f>
        <x:v>9.904205390625002</x:v>
      </x:c>
      <x:c r="N28" s="177" t="n">
        <x:f>'Revenue Build'!N27*'Assumptions'!B17</x:f>
        <x:v>12.888672615000003</x:v>
      </x:c>
      <x:c r="O28" s="177" t="n">
        <x:f>'Revenue Build'!O27*'Assumptions'!B17</x:f>
        <x:v>16.433057584125002</x:v>
      </x:c>
      <x:c r="P28" s="177" t="n">
        <x:f>'Revenue Build'!P27*'Assumptions'!B17</x:f>
        <x:v>20.531655475695008</x:v>
      </x:c>
      <x:c r="Q28" s="177" t="n">
        <x:f>'Revenue Build'!Q27*'Assumptions'!B17</x:f>
        <x:v>25.139871482462098</x:v>
      </x:c>
      <x:c r="R28" s="177" t="n">
        <x:f>'Revenue Build'!R27*'Assumptions'!B17</x:f>
        <x:v>30.16784577895453</x:v>
      </x:c>
      <x:c r="S28" s="177" t="n">
        <x:f>'Revenue Build'!S27*'Assumptions'!B17</x:f>
        <x:v>35.477386636050525</x:v>
      </x:c>
      <x:c r="T28" s="177" t="n">
        <x:f>'Revenue Build'!T27*'Assumptions'!B17</x:f>
        <x:v>40.88346459963918</x:v>
      </x:c>
      <x:c r="U28" s="177" t="n">
        <x:f>'Revenue Build'!U27*'Assumptions'!B17</x:f>
        <x:v>44.15414176761033</x:v>
      </x:c>
    </x:row>
    <x:row r="29">
      <x:c r="A29" s="163" t="str">
        <x:v>Sensor maintenance</x:v>
      </x:c>
      <x:c r="B29" s="177" t="n">
        <x:f>'Operating Build'!B10*'Assumptions'!B22/1000</x:f>
        <x:v>0.0012</x:v>
      </x:c>
      <x:c r="C29" s="177" t="n">
        <x:f>'Operating Build'!C10*'Assumptions'!B22/1000</x:f>
        <x:v>0.0054</x:v>
      </x:c>
      <x:c r="D29" s="177" t="n">
        <x:f>'Operating Build'!D10*'Assumptions'!B22/1000</x:f>
        <x:v>0.0225</x:v>
      </x:c>
      <x:c r="E29" s="177" t="n">
        <x:f>'Operating Build'!E10*'Assumptions'!B22/1000</x:f>
        <x:v>0.072</x:v>
      </x:c>
      <x:c r="F29" s="177" t="n">
        <x:f>'Operating Build'!F10*'Assumptions'!B22/1000</x:f>
        <x:v>0.1944</x:v>
      </x:c>
      <x:c r="G29" s="177" t="n">
        <x:f>'Operating Build'!G10*'Assumptions'!B22/1000</x:f>
        <x:v>0.41472000000000003</x:v>
      </x:c>
      <x:c r="H29" s="177" t="n">
        <x:f>'Operating Build'!H10*'Assumptions'!B22/1000</x:f>
        <x:v>0.7516799999999999</x:v>
      </x:c>
      <x:c r="I29" s="177" t="n">
        <x:f>'Operating Build'!I10*'Assumptions'!B22/1000</x:f>
        <x:v>1.2628223999999997</x:v>
      </x:c>
      <x:c r="J29" s="177" t="n">
        <x:f>'Operating Build'!J10*'Assumptions'!B22/1000</x:f>
        <x:v>1.98894528</x:v>
      </x:c>
      <x:c r="K29" s="177" t="n">
        <x:f>'Operating Build'!K10*'Assumptions'!B22/1000</x:f>
        <x:v>2.955004416</x:v>
      </x:c>
      <x:c r="L29" s="177" t="n">
        <x:f>'Operating Build'!L10*'Assumptions'!B22/1000</x:f>
        <x:v>4.155474959999999</x:v>
      </x:c>
      <x:c r="M29" s="177" t="n">
        <x:f>'Operating Build'!M10*'Assumptions'!B22/1000</x:f>
        <x:v>5.632977167999999</x:v>
      </x:c>
      <x:c r="N29" s="177" t="n">
        <x:f>'Operating Build'!N10*'Assumptions'!B22/1000</x:f>
        <x:v>7.266540546719999</x:v>
      </x:c>
      <x:c r="O29" s="177" t="n">
        <x:f>'Operating Build'!O10*'Assumptions'!B22/1000</x:f>
        <x:v>9.172740020371199</x:v>
      </x:c>
      <x:c r="P29" s="177" t="n">
        <x:f>'Operating Build'!P10*'Assumptions'!B22/1000</x:f>
        <x:v>11.334316146910844</x:v>
      </x:c>
      <x:c r="Q29" s="177" t="n">
        <x:f>'Operating Build'!Q10*'Assumptions'!B22/1000</x:f>
        <x:v>13.712209412017856</x:v>
      </x:c>
      <x:c r="R29" s="177" t="n">
        <x:f>'Operating Build'!R10*'Assumptions'!B22/1000</x:f>
        <x:v>16.243694226544232</x:v>
      </x:c>
      <x:c r="S29" s="177" t="n">
        <x:f>'Operating Build'!S10*'Assumptions'!B22/1000</x:f>
        <x:v>18.842685302791306</x:v>
      </x:c>
      <x:c r="T29" s="177" t="n">
        <x:f>'Operating Build'!T10*'Assumptions'!B22/1000</x:f>
        <x:v>21.05182771760132</x:v>
      </x:c>
      <x:c r="U29" s="177" t="n">
        <x:f>'Operating Build'!U10*'Assumptions'!B22/1000</x:f>
        <x:v>23.2763041797612</x:v>
      </x:c>
    </x:row>
    <x:row r="30">
      <x:c r="A30" s="181" t="str">
        <x:v>Total direct costs</x:v>
      </x:c>
      <x:c r="B30" s="182" t="n">
        <x:f>SUM(B25:B29)</x:f>
        <x:v>0.4229699999999999</x:v>
      </x:c>
      <x:c r="C30" s="182" t="n">
        <x:f>SUM(C25:C29)</x:f>
        <x:v>1.1677462500000002</x:v>
      </x:c>
      <x:c r="D30" s="182" t="n">
        <x:f>SUM(D25:D29)</x:f>
        <x:v>2.8754002499999993</x:v>
      </x:c>
      <x:c r="E30" s="182" t="n">
        <x:f>SUM(E25:E29)</x:f>
        <x:v>6.418967774999999</x:v>
      </x:c>
      <x:c r="F30" s="182" t="n">
        <x:f>SUM(F25:F29)</x:f>
        <x:v>12.452841803999998</x:v>
      </x:c>
      <x:c r="G30" s="182" t="n">
        <x:f>SUM(G25:G29)</x:f>
        <x:v>22.09893055649625</x:v>
      </x:c>
      <x:c r="H30" s="182" t="n">
        <x:f>SUM(H25:H29)</x:f>
        <x:v>36.183323947119</x:v>
      </x:c>
      <x:c r="I30" s="182" t="n">
        <x:f>SUM(I25:I29)</x:f>
        <x:v>56.611270897487515</x:v>
      </x:c>
      <x:c r="J30" s="182" t="n">
        <x:f>SUM(J25:J29)</x:f>
        <x:v>84.63326271354848</x:v>
      </x:c>
      <x:c r="K30" s="182" t="n">
        <x:f>SUM(K25:K29)</x:f>
        <x:v>120.50757022557558</x:v>
      </x:c>
      <x:c r="L30" s="182" t="n">
        <x:f>SUM(L25:L29)</x:f>
        <x:v>165.3125205995704</x:v>
      </x:c>
      <x:c r="M30" s="182" t="n">
        <x:f>SUM(M25:M29)</x:f>
        <x:v>219.80355713252442</x:v>
      </x:c>
      <x:c r="N30" s="182" t="n">
        <x:f>SUM(N25:N29)</x:f>
        <x:v>268.8325184642328</x:v>
      </x:c>
      <x:c r="O30" s="182" t="n">
        <x:f>SUM(O25:O29)</x:f>
        <x:v>321.4785161017354</x:v>
      </x:c>
      <x:c r="P30" s="182" t="n">
        <x:f>SUM(P25:P29)</x:f>
        <x:v>381.0581747555707</x:v>
      </x:c>
      <x:c r="Q30" s="182" t="n">
        <x:f>SUM(Q25:Q29)</x:f>
        <x:v>434.76783819998445</x:v>
      </x:c>
      <x:c r="R30" s="182" t="n">
        <x:f>SUM(R25:R29)</x:f>
        <x:v>479.07769800703915</x:v>
      </x:c>
      <x:c r="S30" s="182" t="n">
        <x:f>SUM(S25:S29)</x:f>
        <x:v>517.4228620825567</x:v>
      </x:c>
      <x:c r="T30" s="182" t="n">
        <x:f>SUM(T25:T29)</x:f>
        <x:v>555.3723921261103</x:v>
      </x:c>
      <x:c r="U30" s="182" t="n">
        <x:f>SUM(U25:U29)</x:f>
        <x:v>589.2470576752067</x:v>
      </x:c>
    </x:row>
    <x:row r="31">
      <x:c r="A31" s="191" t="str">
        <x:v>Gross profit</x:v>
      </x:c>
      <x:c r="B31" s="192" t="n">
        <x:f>'Revenue Build'!B30-B30</x:f>
        <x:v>2.69928</x:v>
      </x:c>
      <x:c r="C31" s="192" t="n">
        <x:f>'Revenue Build'!C30-C30</x:f>
        <x:v>7.0987849999999995</x:v>
      </x:c>
      <x:c r="D31" s="192" t="n">
        <x:f>'Revenue Build'!D30-D30</x:f>
        <x:v>16.5078435</x:v>
      </x:c>
      <x:c r="E31" s="192" t="n">
        <x:f>'Revenue Build'!E30-E30</x:f>
        <x:v>35.17917722499999</x:v>
      </x:c>
      <x:c r="F31" s="192" t="n">
        <x:f>'Revenue Build'!F30-F30</x:f>
        <x:v>66.50772239599999</x:v>
      </x:c>
      <x:c r="G31" s="192" t="n">
        <x:f>'Revenue Build'!G30-G30</x:f>
        <x:v>116.99399728800375</x:v>
      </x:c>
      <x:c r="H31" s="192" t="n">
        <x:f>'Revenue Build'!H30-H30</x:f>
        <x:v>190.932725084081</x:v>
      </x:c>
      <x:c r="I31" s="192" t="n">
        <x:f>'Revenue Build'!I30-I30</x:f>
        <x:v>300.12649833707246</x:v>
      </x:c>
      <x:c r="J31" s="192" t="n">
        <x:f>'Revenue Build'!J30-J30</x:f>
        <x:v>454.6873015949077</x:v>
      </x:c>
      <x:c r="K31" s="192" t="n">
        <x:f>'Revenue Build'!K30-K30</x:f>
        <x:v>653.4001690737285</x:v>
      </x:c>
      <x:c r="L31" s="192" t="n">
        <x:f>'Revenue Build'!L30-L30</x:f>
        <x:v>905.1720235983782</x:v>
      </x:c>
      <x:c r="M31" s="192" t="n">
        <x:f>'Revenue Build'!M30-M30</x:f>
        <x:v>1218.1596093842443</x:v>
      </x:c>
      <x:c r="N31" s="192" t="n">
        <x:f>'Revenue Build'!N30-N30</x:f>
        <x:v>1480.458692827843</x:v>
      </x:c>
      <x:c r="O31" s="192" t="n">
        <x:f>'Revenue Build'!O30-O30</x:f>
        <x:v>1755.9681392649218</x:v>
      </x:c>
      <x:c r="P31" s="192" t="n">
        <x:f>'Revenue Build'!P30-P30</x:f>
        <x:v>2070.448468605859</x:v>
      </x:c>
      <x:c r="Q31" s="192" t="n">
        <x:f>'Revenue Build'!Q30-Q30</x:f>
        <x:v>2332.532611017935</x:v>
      </x:c>
      <x:c r="R31" s="192" t="n">
        <x:f>'Revenue Build'!R30-R30</x:f>
        <x:v>2519.996436378599</x:v>
      </x:c>
      <x:c r="S31" s="192" t="n">
        <x:f>'Revenue Build'!S30-S30</x:f>
        <x:v>2662.7668166430094</x:v>
      </x:c>
      <x:c r="T31" s="192" t="n">
        <x:f>'Revenue Build'!T30-T30</x:f>
        <x:v>2810.2344650754194</x:v>
      </x:c>
      <x:c r="U31" s="192" t="n">
        <x:f>'Revenue Build'!U30-U30</x:f>
        <x:v>2959.1423363851177</x:v>
      </x:c>
    </x:row>
    <x:row r="32">
      <x:c r="A32" s="210" t="str">
        <x:v>Gross margin</x:v>
      </x:c>
      <x:c r="B32" s="211" t="n">
        <x:f>B31/'Revenue Build'!B30</x:f>
        <x:v>0.8645303867403316</x:v>
      </x:c>
      <x:c r="C32" s="211" t="n">
        <x:f>C31/'Revenue Build'!C30</x:f>
        <x:v>0.8587380589651795</x:v>
      </x:c>
      <x:c r="D32" s="211" t="n">
        <x:f>D31/'Revenue Build'!D30</x:f>
        <x:v>0.8516553634115034</x:v>
      </x:c>
      <x:c r="E32" s="211" t="n">
        <x:f>E31/'Revenue Build'!E30</x:f>
        <x:v>0.8456910091784141</x:v>
      </x:c>
      <x:c r="F32" s="211" t="n">
        <x:f>F31/'Revenue Build'!F30</x:f>
        <x:v>0.8422903644348579</x:v>
      </x:c>
      <x:c r="G32" s="211" t="n">
        <x:f>G31/'Revenue Build'!G30</x:f>
        <x:v>0.8411211058753332</x:v>
      </x:c>
      <x:c r="H32" s="211" t="n">
        <x:f>H31/'Revenue Build'!H30</x:f>
        <x:v>0.8406835443753765</x:v>
      </x:c>
      <x:c r="I32" s="211" t="n">
        <x:f>I31/'Revenue Build'!I30</x:f>
        <x:v>0.8413084462041784</x:v>
      </x:c>
      <x:c r="J32" s="211" t="n">
        <x:f>J31/'Revenue Build'!J30</x:f>
        <x:v>0.8430742895515778</x:v>
      </x:c>
      <x:c r="K32" s="211" t="n">
        <x:f>K31/'Revenue Build'!K30</x:f>
        <x:v>0.8442869038437539</x:v>
      </x:c>
      <x:c r="L32" s="211" t="n">
        <x:f>L31/'Revenue Build'!L30</x:f>
        <x:v>0.8455722490384675</x:v>
      </x:c>
      <x:c r="M32" s="211" t="n">
        <x:f>M31/'Revenue Build'!M30</x:f>
        <x:v>0.8471424287835114</x:v>
      </x:c>
      <x:c r="N32" s="211" t="n">
        <x:f>N31/'Revenue Build'!N30</x:f>
        <x:v>0.8463191738866248</x:v>
      </x:c>
      <x:c r="O32" s="211" t="n">
        <x:f>O31/'Revenue Build'!O30</x:f>
        <x:v>0.8452530584738426</x:v>
      </x:c>
      <x:c r="P32" s="211" t="n">
        <x:f>P31/'Revenue Build'!P30</x:f>
        <x:v>0.8445616389466212</x:v>
      </x:c>
      <x:c r="Q32" s="211" t="n">
        <x:f>Q31/'Revenue Build'!Q30</x:f>
        <x:v>0.8428909884639175</x:v>
      </x:c>
      <x:c r="R32" s="211" t="n">
        <x:f>R31/'Revenue Build'!R30</x:f>
        <x:v>0.8402581341640698</x:v>
      </x:c>
      <x:c r="S32" s="211" t="n">
        <x:f>S31/'Revenue Build'!S30</x:f>
        <x:v>0.8372981128943512</x:v>
      </x:c>
      <x:c r="T32" s="211" t="n">
        <x:f>T31/'Revenue Build'!T30</x:f>
        <x:v>0.8349859577514953</x:v>
      </x:c>
      <x:c r="U32" s="211" t="n">
        <x:f>U31/'Revenue Build'!U30</x:f>
        <x:v>0.8339395730746034</x:v>
      </x:c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</x:row>
    <x:row r="34" ht="20" customHeight="1">
      <x:c r="A34" s="176" t="str">
        <x:v>Operating Expense Build ($mm)</x:v>
      </x:c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  <x:c r="R34" s="176"/>
      <x:c r="S34" s="176"/>
      <x:c r="T34" s="176"/>
      <x:c r="U34" s="176"/>
    </x:row>
    <x:row r="35">
      <x:c r="A35" s="163" t="str">
        <x:v>Payroll</x:v>
      </x:c>
      <x:c r="B35" s="177" t="n">
        <x:f>B22</x:f>
        <x:v>11.540000000000001</x:v>
      </x:c>
      <x:c r="C35" s="177" t="n">
        <x:f>C22</x:f>
        <x:v>14.935000000000002</x:v>
      </x:c>
      <x:c r="D35" s="177" t="n">
        <x:f>D22</x:f>
        <x:v>21.599924</x:v>
      </x:c>
      <x:c r="E35" s="177" t="n">
        <x:f>E22</x:f>
        <x:v>33.95102789</x:v>
      </x:c>
      <x:c r="F35" s="177" t="n">
        <x:f>F22</x:f>
        <x:v>53.48417865119999</x:v>
      </x:c>
      <x:c r="G35" s="177" t="n">
        <x:f>G22</x:f>
        <x:v>82.13456816415498</x:v>
      </x:c>
      <x:c r="H35" s="177" t="n">
        <x:f>H22</x:f>
        <x:v>121.08287312952325</x:v>
      </x:c>
      <x:c r="I35" s="177" t="n">
        <x:f>I22</x:f>
        <x:v>175.06639537390313</x:v>
      </x:c>
      <x:c r="J35" s="177" t="n">
        <x:f>J22</x:f>
        <x:v>244.11292853380053</x:v>
      </x:c>
      <x:c r="K35" s="177" t="n">
        <x:f>K22</x:f>
        <x:v>330.2641882908583</x:v>
      </x:c>
      <x:c r="L35" s="177" t="n">
        <x:f>L22</x:f>
        <x:v>431.6121843901581</x:v>
      </x:c>
      <x:c r="M35" s="177" t="n">
        <x:f>M22</x:f>
        <x:v>549.1947882099237</x:v>
      </x:c>
      <x:c r="N35" s="177" t="n">
        <x:f>N22</x:f>
        <x:v>664.3118988126741</x:v>
      </x:c>
      <x:c r="O35" s="177" t="n">
        <x:f>O22</x:f>
        <x:v>788.5438627749517</x:v>
      </x:c>
      <x:c r="P35" s="177" t="n">
        <x:f>P22</x:f>
        <x:v>926.8469168535935</x:v>
      </x:c>
      <x:c r="Q35" s="177" t="n">
        <x:f>Q22</x:f>
        <x:v>1057.5560722256819</x:v>
      </x:c>
      <x:c r="R35" s="177" t="n">
        <x:f>R22</x:f>
        <x:v>1164.8403570774185</x:v>
      </x:c>
      <x:c r="S35" s="177" t="n">
        <x:f>S22</x:f>
        <x:v>1264.9656141683777</x:v>
      </x:c>
      <x:c r="T35" s="177" t="n">
        <x:f>T22</x:f>
        <x:v>1362.9849331592789</x:v>
      </x:c>
      <x:c r="U35" s="177" t="n">
        <x:f>U22</x:f>
        <x:v>1460.5740993803056</x:v>
      </x:c>
    </x:row>
    <x:row r="36">
      <x:c r="A36" s="163" t="str">
        <x:v>Marketing / member acquisition</x:v>
      </x:c>
      <x:c r="B36" s="177" t="n">
        <x:f>'Operating Build'!B4*'Assumptions'!B48</x:f>
        <x:v>0.8</x:v>
      </x:c>
      <x:c r="C36" s="177" t="n">
        <x:f>('Operating Build'!C4-'Operating Build'!B4)*'Assumptions'!C48</x:f>
        <x:v>1.75</x:v>
      </x:c>
      <x:c r="D36" s="177" t="n">
        <x:f>('Operating Build'!D4-'Operating Build'!C4)*'Assumptions'!D48</x:f>
        <x:v>4.199999999999999</x:v>
      </x:c>
      <x:c r="E36" s="177" t="n">
        <x:f>('Operating Build'!E4-'Operating Build'!D4)*'Assumptions'!E48</x:f>
        <x:v>7.875</x:v>
      </x:c>
      <x:c r="F36" s="177" t="n">
        <x:f>('Operating Build'!F4-'Operating Build'!E4)*'Assumptions'!F48</x:f>
        <x:v>10.5</x:v>
      </x:c>
      <x:c r="G36" s="177" t="n">
        <x:f>('Operating Build'!G4-'Operating Build'!F4)*'Assumptions'!G48</x:f>
        <x:v>13.78125</x:v>
      </x:c>
      <x:c r="H36" s="177" t="n">
        <x:f>('Operating Build'!H4-'Operating Build'!G4)*'Assumptions'!H48</x:f>
        <x:v>16.5375</x:v>
      </x:c>
      <x:c r="I36" s="177" t="n">
        <x:f>('Operating Build'!I4-'Operating Build'!H4)*'Assumptions'!I48</x:f>
        <x:v>18.375</x:v>
      </x:c>
      <x:c r="J36" s="177" t="n">
        <x:f>('Operating Build'!J4-'Operating Build'!I4)*'Assumptions'!J48</x:f>
        <x:v>19.403999999999993</x:v>
      </x:c>
      <x:c r="K36" s="177" t="n">
        <x:f>('Operating Build'!K4-'Operating Build'!J4)*'Assumptions'!K48</x:f>
        <x:v>21.60900000000001</x:v>
      </x:c>
      <x:c r="L36" s="177" t="n">
        <x:f>('Operating Build'!L4-'Operating Build'!K4)*'Assumptions'!L48</x:f>
        <x:v>22.50423</x:v>
      </x:c>
      <x:c r="M36" s="177" t="n">
        <x:f>('Operating Build'!M4-'Operating Build'!L4)*'Assumptions'!M48</x:f>
        <x:v>21.670740000000002</x:v>
      </x:c>
      <x:c r="N36" s="177" t="n">
        <x:f>('Operating Build'!N4-'Operating Build'!M4)*'Assumptions'!N48</x:f>
        <x:v>22.347950625000003</x:v>
      </x:c>
      <x:c r="O36" s="177" t="n">
        <x:f>('Operating Build'!O4-'Operating Build'!N4)*'Assumptions'!O48</x:f>
        <x:v>23.133514949999995</x:v>
      </x:c>
      <x:c r="P36" s="177" t="n">
        <x:f>('Operating Build'!P4-'Operating Build'!O4)*'Assumptions'!P48</x:f>
        <x:v>23.199610707</x:v>
      </x:c>
      <x:c r="Q36" s="177" t="n">
        <x:f>('Operating Build'!Q4-'Operating Build'!P4)*'Assumptions'!Q48</x:f>
        <x:v>22.46198205888</x:v>
      </x:c>
      <x:c r="R36" s="177" t="n">
        <x:f>('Operating Build'!R4-'Operating Build'!Q4)*'Assumptions'!R48</x:f>
        <x:v>20.899002473949622</x:v>
      </x:c>
      <x:c r="S36" s="177" t="n">
        <x:f>('Operating Build'!S4-'Operating Build'!R4)*'Assumptions'!S48</x:f>
        <x:v>18.564828171664345</x:v>
      </x:c>
      <x:c r="T36" s="177" t="n">
        <x:f>('Operating Build'!T4-'Operating Build'!S4)*'Assumptions'!T48</x:f>
        <x:v>15.59445566419805</x:v>
      </x:c>
      <x:c r="U36" s="177" t="n">
        <x:f>('Operating Build'!U4-'Operating Build'!T4)*'Assumptions'!U48</x:f>
        <x:v>12.198329763994913</x:v>
      </x:c>
    </x:row>
    <x:row r="37">
      <x:c r="A37" s="163" t="str">
        <x:v>R&amp;D / software (non-payroll)</x:v>
      </x:c>
      <x:c r="B37" s="177" t="n">
        <x:f>0.12*(B15+B16)</x:f>
        <x:v>0.7031999999999999</x:v>
      </x:c>
      <x:c r="C37" s="177" t="n">
        <x:f>0.12*(C15+C16)</x:f>
        <x:v>0.8750880000000001</x:v>
      </x:c>
      <x:c r="D37" s="177" t="n">
        <x:f>0.12*(D15+D16)</x:f>
        <x:v>1.2361606799999998</x:v>
      </x:c>
      <x:c r="E37" s="177" t="n">
        <x:f>0.12*(E15+E16)</x:f>
        <x:v>1.9262591555999997</x:v>
      </x:c>
      <x:c r="F37" s="177" t="n">
        <x:f>0.12*(F15+F16)</x:f>
        <x:v>3.0415750081439996</x:v>
      </x:c>
      <x:c r="G37" s="177" t="n">
        <x:f>0.12*(G15+G16)</x:f>
        <x:v>4.679757583134239</x:v>
      </x:c>
      <x:c r="H37" s="177" t="n">
        <x:f>0.12*(H15+H16)</x:f>
        <x:v>6.920727110682083</x:v>
      </x:c>
      <x:c r="I37" s="177" t="n">
        <x:f>0.12*(I15+I16)</x:f>
        <x:v>9.990019434073133</x:v>
      </x:c>
      <x:c r="J37" s="177" t="n">
        <x:f>0.12*(J15+J16)</x:f>
        <x:v>13.889373880366374</x:v>
      </x:c>
      <x:c r="K37" s="177" t="n">
        <x:f>0.12*(K15+K16)</x:f>
        <x:v>18.749590651626246</x:v>
      </x:c>
      <x:c r="L37" s="177" t="n">
        <x:f>0.12*(L15+L16)</x:f>
        <x:v>24.45981567061475</x:v>
      </x:c>
      <x:c r="M37" s="177" t="n">
        <x:f>0.12*(M15+M16)</x:f>
        <x:v>31.047258333252728</x:v>
      </x:c>
      <x:c r="N37" s="177" t="n">
        <x:f>0.12*(N15+N16)</x:f>
        <x:v>38.01477737380229</x:v>
      </x:c>
      <x:c r="O37" s="177" t="n">
        <x:f>0.12*(O15+O16)</x:f>
        <x:v>45.775958088741376</x:v>
      </x:c>
      <x:c r="P37" s="177" t="n">
        <x:f>0.12*(P15+P16)</x:f>
        <x:v>54.429633695076255</x:v>
      </x:c>
      <x:c r="Q37" s="177" t="n">
        <x:f>0.12*(Q15+Q16)</x:f>
        <x:v>62.796681067443686</x:v>
      </x:c>
      <x:c r="R37" s="177" t="n">
        <x:f>0.12*(R15+R16)</x:f>
        <x:v>69.88368165760089</x:v>
      </x:c>
      <x:c r="S37" s="177" t="n">
        <x:f>0.12*(S15+S16)</x:f>
        <x:v>76.6511395161289</x:v>
      </x:c>
      <x:c r="T37" s="177" t="n">
        <x:f>0.12*(T15+T16)</x:f>
        <x:v>83.30004968646845</x:v>
      </x:c>
      <x:c r="U37" s="177" t="n">
        <x:f>0.12*(U15+U16)</x:f>
        <x:v>89.86227540325278</x:v>
      </x:c>
    </x:row>
    <x:row r="38">
      <x:c r="A38" s="163" t="str">
        <x:v>Privacy / legal / cybersecurity</x:v>
      </x:c>
      <x:c r="B38" s="177" t="n">
        <x:f>2+0.015*('Revenue Build'!B11+'Revenue Build'!B16+'Revenue Build'!B22)</x:f>
        <x:v>2.0436875</x:v>
      </x:c>
      <x:c r="C38" s="177" t="n">
        <x:f>2+0.015*('Revenue Build'!C11+'Revenue Build'!C16+'Revenue Build'!C22)</x:f>
        <x:v>2.112858125</x:v>
      </x:c>
      <x:c r="D38" s="177" t="n">
        <x:f>2+0.015*('Revenue Build'!D11+'Revenue Build'!D16+'Revenue Build'!D22)</x:f>
        <x:v>2.25694521875</x:v>
      </x:c>
      <x:c r="E38" s="177" t="n">
        <x:f>2+0.015*('Revenue Build'!E11+'Revenue Build'!E16+'Revenue Build'!E22)</x:f>
        <x:v>2.538503815625</x:v>
      </x:c>
      <x:c r="F38" s="177" t="n">
        <x:f>2+0.015*('Revenue Build'!F11+'Revenue Build'!F16+'Revenue Build'!F22)</x:f>
        <x:v>3.011552213</x:v>
      </x:c>
      <x:c r="G38" s="177" t="n">
        <x:f>2+0.015*('Revenue Build'!G11+'Revenue Build'!G16+'Revenue Build'!G22)</x:f>
        <x:v>3.7805363004799997</x:v>
      </x:c>
      <x:c r="H38" s="177" t="n">
        <x:f>2+0.015*('Revenue Build'!H11+'Revenue Build'!H16+'Revenue Build'!H22)</x:f>
        <x:v>4.911993860468</x:v>
      </x:c>
      <x:c r="I38" s="177" t="n">
        <x:f>2+0.015*('Revenue Build'!I11+'Revenue Build'!I16+'Revenue Build'!I22)</x:f>
        <x:v>6.6008841947684</x:v>
      </x:c>
      <x:c r="J38" s="177" t="n">
        <x:f>2+0.015*('Revenue Build'!J11+'Revenue Build'!J16+'Revenue Build'!J22)</x:f>
        <x:v>9.028266339626839</x:v>
      </x:c>
      <x:c r="K38" s="177" t="n">
        <x:f>2+0.015*('Revenue Build'!K11+'Revenue Build'!K16+'Revenue Build'!K22)</x:f>
        <x:v>12.160296981677059</x:v>
      </x:c>
      <x:c r="L38" s="177" t="n">
        <x:f>2+0.015*('Revenue Build'!L11+'Revenue Build'!L16+'Revenue Build'!L22)</x:f>
        <x:v>16.154644912031728</x:v>
      </x:c>
      <x:c r="M38" s="177" t="n">
        <x:f>2+0.015*('Revenue Build'!M11+'Revenue Build'!M16+'Revenue Build'!M22)</x:f>
        <x:v>21.166407920603092</x:v>
      </x:c>
      <x:c r="N38" s="177" t="n">
        <x:f>2+0.015*('Revenue Build'!N11+'Revenue Build'!N16+'Revenue Build'!N22)</x:f>
        <x:v>25.277452058818636</x:v>
      </x:c>
      <x:c r="O38" s="177" t="n">
        <x:f>2+0.015*('Revenue Build'!O11+'Revenue Build'!O16+'Revenue Build'!O22)</x:f>
        <x:v>29.571151106095165</x:v>
      </x:c>
      <x:c r="P38" s="177" t="n">
        <x:f>2+0.015*('Revenue Build'!P11+'Revenue Build'!P16+'Revenue Build'!P22)</x:f>
        <x:v>34.49297787338288</x:v>
      </x:c>
      <x:c r="Q38" s="177" t="n">
        <x:f>2+0.015*('Revenue Build'!Q11+'Revenue Build'!Q16+'Revenue Build'!Q22)</x:f>
        <x:v>38.49552730950445</x:v>
      </x:c>
      <x:c r="R38" s="177" t="n">
        <x:f>2+0.015*('Revenue Build'!R11+'Revenue Build'!R16+'Revenue Build'!R22)</x:f>
        <x:v>41.2136107561577</x:v>
      </x:c>
      <x:c r="S38" s="177" t="n">
        <x:f>2+0.015*('Revenue Build'!S11+'Revenue Build'!S16+'Revenue Build'!S22)</x:f>
        <x:v>43.17429129396558</x:v>
      </x:c>
      <x:c r="T38" s="177" t="n">
        <x:f>2+0.015*('Revenue Build'!T11+'Revenue Build'!T16+'Revenue Build'!T22)</x:f>
        <x:v>45.233005858663866</x:v>
      </x:c>
      <x:c r="U38" s="177" t="n">
        <x:f>2+0.015*('Revenue Build'!U11+'Revenue Build'!U16+'Revenue Build'!U22)</x:f>
        <x:v>47.394656151597054</x:v>
      </x:c>
    </x:row>
    <x:row r="39">
      <x:c r="A39" s="163" t="str">
        <x:v>Merchant onboarding / activation</x:v>
      </x:c>
      <x:c r="B39" s="177" t="n">
        <x:f>'Operating Build'!B6*0.015</x:f>
        <x:v>0.0225</x:v>
      </x:c>
      <x:c r="C39" s="177" t="n">
        <x:f>MAX(0,'Operating Build'!C6-'Operating Build'!B6)*0.015</x:f>
        <x:v>0.045</x:v>
      </x:c>
      <x:c r="D39" s="177" t="n">
        <x:f>MAX(0,'Operating Build'!D6-'Operating Build'!C6)*0.015</x:f>
        <x:v>0.10124999999999999</x:v>
      </x:c>
      <x:c r="E39" s="177" t="n">
        <x:f>MAX(0,'Operating Build'!E6-'Operating Build'!D6)*0.015</x:f>
        <x:v>0.16874999999999998</x:v>
      </x:c>
      <x:c r="F39" s="177" t="n">
        <x:f>MAX(0,'Operating Build'!F6-'Operating Build'!E6)*0.015</x:f>
        <x:v>0.27</x:v>
      </x:c>
      <x:c r="G39" s="177" t="n">
        <x:f>MAX(0,'Operating Build'!G6-'Operating Build'!F6)*0.015</x:f>
        <x:v>0.36449999999999994</x:v>
      </x:c>
      <x:c r="H39" s="177" t="n">
        <x:f>MAX(0,'Operating Build'!H6-'Operating Build'!G6)*0.015</x:f>
        <x:v>0.43739999999999996</x:v>
      </x:c>
      <x:c r="I39" s="177" t="n">
        <x:f>MAX(0,'Operating Build'!I6-'Operating Build'!H6)*0.015</x:f>
        <x:v>0.5637599999999998</x:v>
      </x:c>
      <x:c r="J39" s="177" t="n">
        <x:f>MAX(0,'Operating Build'!J6-'Operating Build'!I6)*0.015</x:f>
        <x:v>0.690606</x:v>
      </x:c>
      <x:c r="K39" s="177" t="n">
        <x:f>MAX(0,'Operating Build'!K6-'Operating Build'!J6)*0.015</x:f>
        <x:v>0.7991297999999999</x:v>
      </x:c>
      <x:c r="L39" s="177" t="n">
        <x:f>MAX(0,'Operating Build'!L6-'Operating Build'!K6)*0.015</x:f>
        <x:v>0.8657239499999997</x:v>
      </x:c>
      <x:c r="M39" s="177" t="n">
        <x:f>MAX(0,'Operating Build'!M6-'Operating Build'!L6)*0.015</x:f>
        <x:v>0.952296345</x:v>
      </x:c>
      <x:c r="N39" s="177" t="n">
        <x:f>MAX(0,'Operating Build'!N6-'Operating Build'!M6)*0.015</x:f>
        <x:v>1.0561832189999996</x:v>
      </x:c>
      <x:c r="O39" s="177" t="n">
        <x:f>MAX(0,'Operating Build'!O6-'Operating Build'!N6)*0.015</x:f>
        <x:v>1.140677876519999</x:v>
      </x:c>
      <x:c r="P39" s="177" t="n">
        <x:f>MAX(0,'Operating Build'!P6-'Operating Build'!O6)*0.015</x:f>
        <x:v>1.1964443504831987</x:v>
      </x:c>
      <x:c r="Q39" s="177" t="n">
        <x:f>MAX(0,'Operating Build'!Q6-'Operating Build'!P6)*0.015</x:f>
        <x:v>1.2143910157404485</x:v>
      </x:c>
      <x:c r="R39" s="177" t="n">
        <x:f>MAX(0,'Operating Build'!R6-'Operating Build'!Q6)*0.015</x:f>
        <x:v>1.1866335068092382</x:v>
      </x:c>
      <x:c r="S39" s="177" t="n">
        <x:f>MAX(0,'Operating Build'!S6-'Operating Build'!R6)*0.015</x:f>
        <x:v>1.107524606355289</x:v>
      </x:c>
      <x:c r="T39" s="177" t="n">
        <x:f>MAX(0,'Operating Build'!T6-'Operating Build'!S6)*0.015</x:f>
        <x:v>0.974621653592655</x:v>
      </x:c>
      <x:c r="U39" s="177" t="n">
        <x:f>MAX(0,'Operating Build'!U6-'Operating Build'!T6)*0.015</x:f>
        <x:v>0.9210174626450589</x:v>
      </x:c>
    </x:row>
    <x:row r="40">
      <x:c r="A40" s="163" t="str">
        <x:v>Office / travel / employee tools</x:v>
      </x:c>
      <x:c r="B40" s="177" t="n">
        <x:f>B12*0.012</x:f>
        <x:v>0.6960000000000001</x:v>
      </x:c>
      <x:c r="C40" s="177" t="n">
        <x:f>C12*0.012</x:f>
        <x:v>0.876</x:v>
      </x:c>
      <x:c r="D40" s="177" t="n">
        <x:f>D12*0.012</x:f>
        <x:v>1.224</x:v>
      </x:c>
      <x:c r="E40" s="177" t="n">
        <x:f>E12*0.012</x:f>
        <x:v>1.872</x:v>
      </x:c>
      <x:c r="F40" s="177" t="n">
        <x:f>F12*0.012</x:f>
        <x:v>2.868</x:v>
      </x:c>
      <x:c r="G40" s="177" t="n">
        <x:f>G12*0.012</x:f>
        <x:v>4.284</x:v>
      </x:c>
      <x:c r="H40" s="177" t="n">
        <x:f>H12*0.012</x:f>
        <x:v>6.132000000000001</x:v>
      </x:c>
      <x:c r="I40" s="177" t="n">
        <x:f>I12*0.012</x:f>
        <x:v>8.616</x:v>
      </x:c>
      <x:c r="J40" s="177" t="n">
        <x:f>J12*0.012</x:f>
        <x:v>11.664</x:v>
      </x:c>
      <x:c r="K40" s="177" t="n">
        <x:f>K12*0.012</x:f>
        <x:v>15.324</x:v>
      </x:c>
      <x:c r="L40" s="177" t="n">
        <x:f>L12*0.012</x:f>
        <x:v>19.44</x:v>
      </x:c>
      <x:c r="M40" s="177" t="n">
        <x:f>M12*0.012</x:f>
        <x:v>24.012</x:v>
      </x:c>
      <x:c r="N40" s="177" t="n">
        <x:f>N12*0.012</x:f>
        <x:v>28.248</x:v>
      </x:c>
      <x:c r="O40" s="177" t="n">
        <x:f>O12*0.012</x:f>
        <x:v>32.616</x:v>
      </x:c>
      <x:c r="P40" s="177" t="n">
        <x:f>P12*0.012</x:f>
        <x:v>37.284</x:v>
      </x:c>
      <x:c r="Q40" s="177" t="n">
        <x:f>Q12*0.012</x:f>
        <x:v>41.448</x:v>
      </x:c>
      <x:c r="R40" s="177" t="n">
        <x:f>R12*0.012</x:f>
        <x:v>44.604</x:v>
      </x:c>
      <x:c r="S40" s="177" t="n">
        <x:f>S12*0.012</x:f>
        <x:v>47.328</x:v>
      </x:c>
      <x:c r="T40" s="177" t="n">
        <x:f>T12*0.012</x:f>
        <x:v>49.776</x:v>
      </x:c>
      <x:c r="U40" s="177" t="n">
        <x:f>U12*0.012</x:f>
        <x:v>52.008</x:v>
      </x:c>
    </x:row>
    <x:row r="41">
      <x:c r="A41" s="163" t="str">
        <x:v>G&amp;A non-payroll</x:v>
      </x:c>
      <x:c r="B41" s="177" t="n">
        <x:f>B21*0.20</x:f>
        <x:v>0.296</x:v>
      </x:c>
      <x:c r="C41" s="177" t="n">
        <x:f>C21*0.20</x:f>
        <x:v>0.30488000000000004</x:v>
      </x:c>
      <x:c r="D41" s="177" t="n">
        <x:f>D21*0.20</x:f>
        <x:v>0.392533</x:v>
      </x:c>
      <x:c r="E41" s="177" t="n">
        <x:f>E21*0.20</x:f>
        <x:v>0.485170788</x:v>
      </x:c>
      <x:c r="F41" s="177" t="n">
        <x:f>F21*0.20</x:f>
        <x:v>0.6663012155199999</x:v>
      </x:c>
      <x:c r="G41" s="177" t="n">
        <x:f>G21*0.20</x:f>
        <x:v>0.9436490964802</x:v>
      </x:c>
      <x:c r="H41" s="177" t="n">
        <x:f>H21*0.20</x:f>
        <x:v>1.2812181141756172</x:v>
      </x:c>
      <x:c r="I41" s="177" t="n">
        <x:f>I21*0.20</x:f>
        <x:v>1.7747079878080871</x:v>
      </x:c>
      <x:c r="J41" s="177" t="n">
        <x:f>J21*0.20</x:f>
        <x:v>2.390395143578431</x:v>
      </x:c>
      <x:c r="K41" s="177" t="n">
        <x:f>K21*0.20</x:f>
        <x:v>3.186256114911015</x:v>
      </x:c>
      <x:c r="L41" s="177" t="n">
        <x:f>L21*0.20</x:f>
        <x:v>4.077442294930066</x:v>
      </x:c>
      <x:c r="M41" s="177" t="n">
        <x:f>M21*0.20</x:f>
        <x:v>5.121665321680449</x:v>
      </x:c>
      <x:c r="N41" s="177" t="n">
        <x:f>N21*0.20</x:f>
        <x:v>6.172118879157107</x:v>
      </x:c>
      <x:c r="O41" s="177" t="n">
        <x:f>O21*0.20</x:f>
        <x:v>7.280990151292854</x:v>
      </x:c>
      <x:c r="P41" s="177" t="n">
        <x:f>P21*0.20</x:f>
        <x:v>8.562770432404784</x:v>
      </x:c>
      <x:c r="Q41" s="177" t="n">
        <x:f>Q21*0.20</x:f>
        <x:v>9.741970256004581</x:v>
      </x:c>
      <x:c r="R41" s="177" t="n">
        <x:f>R21*0.20</x:f>
        <x:v>10.806093160891232</x:v>
      </x:c>
      <x:c r="S41" s="177" t="n">
        <x:f>S21*0.20</x:f>
        <x:v>11.802984942052573</x:v>
      </x:c>
      <x:c r="T41" s="177" t="n">
        <x:f>T21*0.20</x:f>
        <x:v>12.723984699707039</x:v>
      </x:c>
      <x:c r="U41" s="177" t="n">
        <x:f>U21*0.20</x:f>
        <x:v>13.689621756372922</x:v>
      </x:c>
    </x:row>
    <x:row r="42">
      <x:c r="A42" s="181" t="str">
        <x:v>Total operating expenses</x:v>
      </x:c>
      <x:c r="B42" s="182" t="n">
        <x:f>SUM(B35:B41)</x:f>
        <x:v>16.101387500000005</x:v>
      </x:c>
      <x:c r="C42" s="182" t="n">
        <x:f>SUM(C35:C41)</x:f>
        <x:v>20.898826125000006</x:v>
      </x:c>
      <x:c r="D42" s="182" t="n">
        <x:f>SUM(D35:D41)</x:f>
        <x:v>31.010812898750004</x:v>
      </x:c>
      <x:c r="E42" s="182" t="n">
        <x:f>SUM(E35:E41)</x:f>
        <x:v>48.816711649225</x:v>
      </x:c>
      <x:c r="F42" s="182" t="n">
        <x:f>SUM(F35:F41)</x:f>
        <x:v>73.84160708786398</x:v>
      </x:c>
      <x:c r="G42" s="182" t="n">
        <x:f>SUM(G35:G41)</x:f>
        <x:v>109.96826114424942</x:v>
      </x:c>
      <x:c r="H42" s="182" t="n">
        <x:f>SUM(H35:H41)</x:f>
        <x:v>157.30371221484896</x:v>
      </x:c>
      <x:c r="I42" s="182" t="n">
        <x:f>SUM(I35:I41)</x:f>
        <x:v>220.98676699055278</x:v>
      </x:c>
      <x:c r="J42" s="182" t="n">
        <x:f>SUM(J35:J41)</x:f>
        <x:v>301.1795698973721</x:v>
      </x:c>
      <x:c r="K42" s="182" t="n">
        <x:f>SUM(K35:K41)</x:f>
        <x:v>402.0924618390727</x:v>
      </x:c>
      <x:c r="L42" s="182" t="n">
        <x:f>SUM(L35:L41)</x:f>
        <x:v>519.1140412177347</x:v>
      </x:c>
      <x:c r="M42" s="182" t="n">
        <x:f>SUM(M35:M41)</x:f>
        <x:v>653.16515613046</x:v>
      </x:c>
      <x:c r="N42" s="182" t="n">
        <x:f>SUM(N35:N41)</x:f>
        <x:v>785.4283809684522</x:v>
      </x:c>
      <x:c r="O42" s="182" t="n">
        <x:f>SUM(O35:O41)</x:f>
        <x:v>928.062154947601</x:v>
      </x:c>
      <x:c r="P42" s="182" t="n">
        <x:f>SUM(P35:P41)</x:f>
        <x:v>1086.0123539119409</x:v>
      </x:c>
      <x:c r="Q42" s="182" t="n">
        <x:f>SUM(Q35:Q41)</x:f>
        <x:v>1233.714623933255</x:v>
      </x:c>
      <x:c r="R42" s="182" t="n">
        <x:f>SUM(R35:R41)</x:f>
        <x:v>1353.433378632827</x:v>
      </x:c>
      <x:c r="S42" s="182" t="n">
        <x:f>SUM(S35:S41)</x:f>
        <x:v>1463.5943826985445</x:v>
      </x:c>
      <x:c r="T42" s="182" t="n">
        <x:f>SUM(T35:T41)</x:f>
        <x:v>1570.5870507219088</x:v>
      </x:c>
      <x:c r="U42" s="182" t="n">
        <x:f>SUM(U35:U41)</x:f>
        <x:v>1676.6479999181684</x:v>
      </x:c>
    </x:row>
    <x:row r="43">
      <x:c r="A43" s="191" t="str">
        <x:v>EBITDA</x:v>
      </x:c>
      <x:c r="B43" s="192" t="n">
        <x:f>B31-B42</x:f>
        <x:v>-13.402107500000005</x:v>
      </x:c>
      <x:c r="C43" s="192" t="n">
        <x:f>C31-C42</x:f>
        <x:v>-13.800041125000007</x:v>
      </x:c>
      <x:c r="D43" s="192" t="n">
        <x:f>D31-D42</x:f>
        <x:v>-14.502969398750004</x:v>
      </x:c>
      <x:c r="E43" s="192" t="n">
        <x:f>E31-E42</x:f>
        <x:v>-13.63753442422501</x:v>
      </x:c>
      <x:c r="F43" s="192" t="n">
        <x:f>F31-F42</x:f>
        <x:v>-7.333884691863986</x:v>
      </x:c>
      <x:c r="G43" s="192" t="n">
        <x:f>G31-G42</x:f>
        <x:v>7.0257361437543295</x:v>
      </x:c>
      <x:c r="H43" s="192" t="n">
        <x:f>H31-H42</x:f>
        <x:v>33.62901286923204</x:v>
      </x:c>
      <x:c r="I43" s="192" t="n">
        <x:f>I31-I42</x:f>
        <x:v>79.13973134651968</x:v>
      </x:c>
      <x:c r="J43" s="192" t="n">
        <x:f>J31-J42</x:f>
        <x:v>153.50773169753558</x:v>
      </x:c>
      <x:c r="K43" s="192" t="n">
        <x:f>K31-K42</x:f>
        <x:v>251.30770723465582</x:v>
      </x:c>
      <x:c r="L43" s="192" t="n">
        <x:f>L31-L42</x:f>
        <x:v>386.0579823806436</x:v>
      </x:c>
      <x:c r="M43" s="192" t="n">
        <x:f>M31-M42</x:f>
        <x:v>564.9944532537843</x:v>
      </x:c>
      <x:c r="N43" s="192" t="n">
        <x:f>N31-N42</x:f>
        <x:v>695.0303118593907</x:v>
      </x:c>
      <x:c r="O43" s="192" t="n">
        <x:f>O31-O42</x:f>
        <x:v>827.9059843173208</x:v>
      </x:c>
      <x:c r="P43" s="192" t="n">
        <x:f>P31-P42</x:f>
        <x:v>984.4361146939182</x:v>
      </x:c>
      <x:c r="Q43" s="192" t="n">
        <x:f>Q31-Q42</x:f>
        <x:v>1098.8179870846798</x:v>
      </x:c>
      <x:c r="R43" s="192" t="n">
        <x:f>R31-R42</x:f>
        <x:v>1166.5630577457719</x:v>
      </x:c>
      <x:c r="S43" s="192" t="n">
        <x:f>S31-S42</x:f>
        <x:v>1199.172433944465</x:v>
      </x:c>
      <x:c r="T43" s="192" t="n">
        <x:f>T31-T42</x:f>
        <x:v>1239.6474143535106</x:v>
      </x:c>
      <x:c r="U43" s="192" t="n">
        <x:f>U31-U42</x:f>
        <x:v>1282.4943364669493</x:v>
      </x:c>
    </x:row>
    <x:row r="44">
      <x:c r="A44" s="210" t="str">
        <x:v>EBITDA margin</x:v>
      </x:c>
      <x:c r="B44" s="211" t="n">
        <x:f>B43/'Revenue Build'!B30</x:f>
        <x:v>-4.292451757546643</x:v>
      </x:c>
      <x:c r="C44" s="211" t="n">
        <x:f>C43/'Revenue Build'!C30</x:f>
        <x:v>-1.6693871598199073</x:v>
      </x:c>
      <x:c r="D44" s="211" t="n">
        <x:f>D43/'Revenue Build'!D30</x:f>
        <x:v>-0.7482219996717528</x:v>
      </x:c>
      <x:c r="E44" s="211" t="n">
        <x:f>E43/'Revenue Build'!E30</x:f>
        <x:v>-0.32783996556156564</x:v>
      </x:c>
      <x:c r="F44" s="211" t="n">
        <x:f>F43/'Revenue Build'!F30</x:f>
        <x:v>-0.09288034813540487</x:v>
      </x:c>
      <x:c r="G44" s="211" t="n">
        <x:f>G43/'Revenue Build'!G30</x:f>
        <x:v>0.05051109537077834</x:v>
      </x:c>
      <x:c r="H44" s="211" t="n">
        <x:f>H43/'Revenue Build'!H30</x:f>
        <x:v>0.1480697335687284</x:v>
      </x:c>
      <x:c r="I44" s="211" t="n">
        <x:f>I43/'Revenue Build'!I30</x:f>
        <x:v>0.2218428721924429</x:v>
      </x:c>
      <x:c r="J44" s="211" t="n">
        <x:f>J43/'Revenue Build'!J30</x:f>
        <x:v>0.2846317048829222</x:v>
      </x:c>
      <x:c r="K44" s="211" t="n">
        <x:f>K43/'Revenue Build'!K30</x:f>
        <x:v>0.3247256675093982</x:v>
      </x:c>
      <x:c r="L44" s="211" t="n">
        <x:f>L43/'Revenue Build'!L30</x:f>
        <x:v>0.3606385393166925</x:v>
      </x:c>
      <x:c r="M44" s="211" t="n">
        <x:f>M43/'Revenue Build'!M30</x:f>
        <x:v>0.3929130219812175</x:v>
      </x:c>
      <x:c r="N44" s="211" t="n">
        <x:f>N43/'Revenue Build'!N30</x:f>
        <x:v>0.3973211020399638</x:v>
      </x:c>
      <x:c r="O44" s="211" t="n">
        <x:f>O43/'Revenue Build'!O30</x:f>
        <x:v>0.3985209353889283</x:v>
      </x:c>
      <x:c r="P44" s="211" t="n">
        <x:f>P43/'Revenue Build'!P30</x:f>
        <x:v>0.40156371485254877</x:v>
      </x:c>
      <x:c r="Q44" s="211" t="n">
        <x:f>Q43/'Revenue Build'!Q30</x:f>
        <x:v>0.39707216735184003</x:v>
      </x:c>
      <x:c r="R44" s="211" t="n">
        <x:f>R43/'Revenue Build'!R30</x:f>
        <x:v>0.3889743985887641</x:v>
      </x:c>
      <x:c r="S44" s="211" t="n">
        <x:f>S43/'Revenue Build'!S30</x:f>
        <x:v>0.37707575808026117</x:v>
      </x:c>
      <x:c r="T44" s="211" t="n">
        <x:f>T43/'Revenue Build'!T30</x:f>
        <x:v>0.3683280510618717</x:v>
      </x:c>
      <x:c r="U44" s="211" t="n">
        <x:f>U43/'Revenue Build'!U30</x:f>
        <x:v>0.36142998809931237</x:v>
      </x:c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</x:row>
    <x:row r="46" ht="20" customHeight="1">
      <x:c r="A46" s="176" t="str">
        <x:v>Capital Expenditure Build ($mm)</x:v>
      </x:c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  <x:c r="S46" s="176"/>
      <x:c r="T46" s="176"/>
      <x:c r="U46" s="176"/>
    </x:row>
    <x:row r="47">
      <x:c r="A47" s="163" t="str">
        <x:v>Sensor installation capex</x:v>
      </x:c>
      <x:c r="B47" s="177" t="n">
        <x:f>'Operating Build'!B10*'Assumptions'!B10/1000</x:f>
        <x:v>0.00525</x:v>
      </x:c>
      <x:c r="C47" s="177" t="n">
        <x:f>MAX(0,'Operating Build'!C10-'Operating Build'!B10)*'Assumptions'!B10/1000</x:f>
        <x:v>0.018375</x:v>
      </x:c>
      <x:c r="D47" s="177" t="n">
        <x:f>MAX(0,'Operating Build'!D10-'Operating Build'!C10)*'Assumptions'!B10/1000</x:f>
        <x:v>0.0748125</x:v>
      </x:c>
      <x:c r="E47" s="177" t="n">
        <x:f>MAX(0,'Operating Build'!E10-'Operating Build'!D10)*'Assumptions'!B10/1000</x:f>
        <x:v>0.2165625</x:v>
      </x:c>
      <x:c r="F47" s="177" t="n">
        <x:f>MAX(0,'Operating Build'!F10-'Operating Build'!E10)*'Assumptions'!B10/1000</x:f>
        <x:v>0.5354999999999999</x:v>
      </x:c>
      <x:c r="G47" s="177" t="n">
        <x:f>MAX(0,'Operating Build'!G10-'Operating Build'!F10)*'Assumptions'!B10/1000</x:f>
        <x:v>0.9639000000000002</x:v>
      </x:c>
      <x:c r="H47" s="177" t="n">
        <x:f>MAX(0,'Operating Build'!H10-'Operating Build'!G10)*'Assumptions'!B10/1000</x:f>
        <x:v>1.4741999999999995</x:v>
      </x:c>
      <x:c r="I47" s="177" t="n">
        <x:f>MAX(0,'Operating Build'!I10-'Operating Build'!H10)*'Assumptions'!B10/1000</x:f>
        <x:v>2.2362479999999993</x:v>
      </x:c>
      <x:c r="J47" s="177" t="n">
        <x:f>MAX(0,'Operating Build'!J10-'Operating Build'!I10)*'Assumptions'!B10/1000</x:f>
        <x:v>3.1767876000000013</x:v>
      </x:c>
      <x:c r="K47" s="177" t="n">
        <x:f>MAX(0,'Operating Build'!K10-'Operating Build'!J10)*'Assumptions'!B10/1000</x:f>
        <x:v>4.226508719999999</x:v>
      </x:c>
      <x:c r="L47" s="177" t="n">
        <x:f>MAX(0,'Operating Build'!L10-'Operating Build'!K10)*'Assumptions'!B10/1000</x:f>
        <x:v>5.252058629999997</x:v>
      </x:c>
      <x:c r="M47" s="177" t="n">
        <x:f>MAX(0,'Operating Build'!M10-'Operating Build'!L10)*'Assumptions'!B10/1000</x:f>
        <x:v>6.464072160000003</x:v>
      </x:c>
      <x:c r="N47" s="177" t="n">
        <x:f>MAX(0,'Operating Build'!N10-'Operating Build'!M10)*'Assumptions'!B10/1000</x:f>
        <x:v>7.146839781899996</x:v>
      </x:c>
      <x:c r="O47" s="177" t="n">
        <x:f>MAX(0,'Operating Build'!O10-'Operating Build'!N10)*'Assumptions'!B10/1000</x:f>
        <x:v>8.339622697223993</x:v>
      </x:c>
      <x:c r="P47" s="177" t="n">
        <x:f>MAX(0,'Operating Build'!P10-'Operating Build'!O10)*'Assumptions'!B10/1000</x:f>
        <x:v>9.456895553610954</x:v>
      </x:c>
      <x:c r="Q47" s="177" t="n">
        <x:f>MAX(0,'Operating Build'!Q10-'Operating Build'!P10)*'Assumptions'!B10/1000</x:f>
        <x:v>10.403283034843174</x:v>
      </x:c>
      <x:c r="R47" s="177" t="n">
        <x:f>MAX(0,'Operating Build'!R10-'Operating Build'!Q10)*'Assumptions'!B10/1000</x:f>
        <x:v>11.07524606355289</x:v>
      </x:c>
      <x:c r="S47" s="177" t="n">
        <x:f>MAX(0,'Operating Build'!S10-'Operating Build'!R10)*'Assumptions'!B10/1000</x:f>
        <x:v>11.370585958580955</x:v>
      </x:c>
      <x:c r="T47" s="177" t="n">
        <x:f>MAX(0,'Operating Build'!T10-'Operating Build'!S10)*'Assumptions'!B10/1000</x:f>
        <x:v>9.664998064793823</x:v>
      </x:c>
      <x:c r="U47" s="177" t="n">
        <x:f>MAX(0,'Operating Build'!U10-'Operating Build'!T10)*'Assumptions'!B10/1000</x:f>
        <x:v>9.732084521949465</x:v>
      </x:c>
    </x:row>
    <x:row r="48">
      <x:c r="A48" s="163" t="str">
        <x:v>IT / office capex</x:v>
      </x:c>
      <x:c r="B48" s="177" t="n">
        <x:f>B12*'Assumptions'!B23/1000</x:f>
        <x:v>0.29</x:v>
      </x:c>
      <x:c r="C48" s="177" t="n">
        <x:f>MAX(0,C12-B12)*'Assumptions'!B23/1000</x:f>
        <x:v>0.075</x:v>
      </x:c>
      <x:c r="D48" s="177" t="n">
        <x:f>MAX(0,D12-C12)*'Assumptions'!B23/1000</x:f>
        <x:v>0.145</x:v>
      </x:c>
      <x:c r="E48" s="177" t="n">
        <x:f>MAX(0,E12-D12)*'Assumptions'!B23/1000</x:f>
        <x:v>0.27</x:v>
      </x:c>
      <x:c r="F48" s="177" t="n">
        <x:f>MAX(0,F12-E12)*'Assumptions'!B23/1000</x:f>
        <x:v>0.415</x:v>
      </x:c>
      <x:c r="G48" s="177" t="n">
        <x:f>MAX(0,G12-F12)*'Assumptions'!B23/1000</x:f>
        <x:v>0.59</x:v>
      </x:c>
      <x:c r="H48" s="177" t="n">
        <x:f>MAX(0,H12-G12)*'Assumptions'!B23/1000</x:f>
        <x:v>0.77</x:v>
      </x:c>
      <x:c r="I48" s="177" t="n">
        <x:f>MAX(0,I12-H12)*'Assumptions'!B23/1000</x:f>
        <x:v>1.035</x:v>
      </x:c>
      <x:c r="J48" s="177" t="n">
        <x:f>MAX(0,J12-I12)*'Assumptions'!B23/1000</x:f>
        <x:v>1.27</x:v>
      </x:c>
      <x:c r="K48" s="177" t="n">
        <x:f>MAX(0,K12-J12)*'Assumptions'!B23/1000</x:f>
        <x:v>1.525</x:v>
      </x:c>
      <x:c r="L48" s="177" t="n">
        <x:f>MAX(0,L12-K12)*'Assumptions'!B23/1000</x:f>
        <x:v>1.715</x:v>
      </x:c>
      <x:c r="M48" s="177" t="n">
        <x:f>MAX(0,M12-L12)*'Assumptions'!B23/1000</x:f>
        <x:v>1.905</x:v>
      </x:c>
      <x:c r="N48" s="177" t="n">
        <x:f>MAX(0,N12-M12)*'Assumptions'!B23/1000</x:f>
        <x:v>1.765</x:v>
      </x:c>
      <x:c r="O48" s="177" t="n">
        <x:f>MAX(0,O12-N12)*'Assumptions'!B23/1000</x:f>
        <x:v>1.82</x:v>
      </x:c>
      <x:c r="P48" s="177" t="n">
        <x:f>MAX(0,P12-O12)*'Assumptions'!B23/1000</x:f>
        <x:v>1.945</x:v>
      </x:c>
      <x:c r="Q48" s="177" t="n">
        <x:f>MAX(0,Q12-P12)*'Assumptions'!B23/1000</x:f>
        <x:v>1.735</x:v>
      </x:c>
      <x:c r="R48" s="177" t="n">
        <x:f>MAX(0,R12-Q12)*'Assumptions'!B23/1000</x:f>
        <x:v>1.315</x:v>
      </x:c>
      <x:c r="S48" s="177" t="n">
        <x:f>MAX(0,S12-R12)*'Assumptions'!B23/1000</x:f>
        <x:v>1.135</x:v>
      </x:c>
      <x:c r="T48" s="177" t="n">
        <x:f>MAX(0,T12-S12)*'Assumptions'!B23/1000</x:f>
        <x:v>1.02</x:v>
      </x:c>
      <x:c r="U48" s="177" t="n">
        <x:f>MAX(0,U12-T12)*'Assumptions'!B23/1000</x:f>
        <x:v>0.93</x:v>
      </x:c>
    </x:row>
    <x:row r="49">
      <x:c r="A49" s="181" t="str">
        <x:v>Total capex</x:v>
      </x:c>
      <x:c r="B49" s="182" t="n">
        <x:f>SUM(B47:B48)</x:f>
        <x:v>0.29524999999999996</x:v>
      </x:c>
      <x:c r="C49" s="182" t="n">
        <x:f>SUM(C47:C48)</x:f>
        <x:v>0.093375</x:v>
      </x:c>
      <x:c r="D49" s="182" t="n">
        <x:f>SUM(D47:D48)</x:f>
        <x:v>0.2198125</x:v>
      </x:c>
      <x:c r="E49" s="182" t="n">
        <x:f>SUM(E47:E48)</x:f>
        <x:v>0.4865625</x:v>
      </x:c>
      <x:c r="F49" s="182" t="n">
        <x:f>SUM(F47:F48)</x:f>
        <x:v>0.9504999999999999</x:v>
      </x:c>
      <x:c r="G49" s="182" t="n">
        <x:f>SUM(G47:G48)</x:f>
        <x:v>1.5539</x:v>
      </x:c>
      <x:c r="H49" s="182" t="n">
        <x:f>SUM(H47:H48)</x:f>
        <x:v>2.2441999999999993</x:v>
      </x:c>
      <x:c r="I49" s="182" t="n">
        <x:f>SUM(I47:I48)</x:f>
        <x:v>3.271247999999999</x:v>
      </x:c>
      <x:c r="J49" s="182" t="n">
        <x:f>SUM(J47:J48)</x:f>
        <x:v>4.446787600000001</x:v>
      </x:c>
      <x:c r="K49" s="182" t="n">
        <x:f>SUM(K47:K48)</x:f>
        <x:v>5.751508719999999</x:v>
      </x:c>
      <x:c r="L49" s="182" t="n">
        <x:f>SUM(L47:L48)</x:f>
        <x:v>6.967058629999997</x:v>
      </x:c>
      <x:c r="M49" s="182" t="n">
        <x:f>SUM(M47:M48)</x:f>
        <x:v>8.369072160000004</x:v>
      </x:c>
      <x:c r="N49" s="182" t="n">
        <x:f>SUM(N47:N48)</x:f>
        <x:v>8.911839781899996</x:v>
      </x:c>
      <x:c r="O49" s="182" t="n">
        <x:f>SUM(O47:O48)</x:f>
        <x:v>10.159622697223993</x:v>
      </x:c>
      <x:c r="P49" s="182" t="n">
        <x:f>SUM(P47:P48)</x:f>
        <x:v>11.401895553610954</x:v>
      </x:c>
      <x:c r="Q49" s="182" t="n">
        <x:f>SUM(Q47:Q48)</x:f>
        <x:v>12.138283034843173</x:v>
      </x:c>
      <x:c r="R49" s="182" t="n">
        <x:f>SUM(R47:R48)</x:f>
        <x:v>12.39024606355289</x:v>
      </x:c>
      <x:c r="S49" s="182" t="n">
        <x:f>SUM(S47:S48)</x:f>
        <x:v>12.505585958580955</x:v>
      </x:c>
      <x:c r="T49" s="182" t="n">
        <x:f>SUM(T47:T48)</x:f>
        <x:v>10.684998064793822</x:v>
      </x:c>
      <x:c r="U49" s="182" t="n">
        <x:f>SUM(U47:U48)</x:f>
        <x:v>10.662084521949465</x:v>
      </x:c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7"/>
      <x:c r="N61" s="117"/>
      <x:c r="O61" s="117"/>
      <x:c r="P61" s="117"/>
      <x:c r="Q61" s="117"/>
      <x:c r="R61" s="117"/>
      <x:c r="S61" s="117"/>
      <x:c r="T61" s="117"/>
      <x:c r="U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7"/>
      <x:c r="N62" s="117"/>
      <x:c r="O62" s="117"/>
      <x:c r="P62" s="117"/>
      <x:c r="Q62" s="117"/>
      <x:c r="R62" s="117"/>
      <x:c r="S62" s="117"/>
      <x:c r="T62" s="117"/>
      <x:c r="U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7"/>
      <x:c r="N63" s="117"/>
      <x:c r="O63" s="117"/>
      <x:c r="P63" s="117"/>
      <x:c r="Q63" s="117"/>
      <x:c r="R63" s="117"/>
      <x:c r="S63" s="117"/>
      <x:c r="T63" s="117"/>
      <x:c r="U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  <x:c r="O64" s="117"/>
      <x:c r="P64" s="117"/>
      <x:c r="Q64" s="117"/>
      <x:c r="R64" s="117"/>
      <x:c r="S64" s="117"/>
      <x:c r="T64" s="117"/>
      <x:c r="U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  <x:c r="O65" s="117"/>
      <x:c r="P65" s="117"/>
      <x:c r="Q65" s="117"/>
      <x:c r="R65" s="117"/>
      <x:c r="S65" s="117"/>
      <x:c r="T65" s="117"/>
      <x:c r="U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  <x:c r="R67" s="117"/>
      <x:c r="S67" s="117"/>
      <x:c r="T67" s="117"/>
      <x:c r="U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  <x:c r="R68" s="117"/>
      <x:c r="S68" s="117"/>
      <x:c r="T68" s="117"/>
      <x:c r="U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  <x:c r="O69" s="117"/>
      <x:c r="P69" s="117"/>
      <x:c r="Q69" s="117"/>
      <x:c r="R69" s="117"/>
      <x:c r="S69" s="117"/>
      <x:c r="T69" s="117"/>
      <x:c r="U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</x:row>
  </x:sheetData>
  <x:mergeCells>
    <x:mergeCell ref="A1:U1"/>
    <x:mergeCell ref="A4:U4"/>
    <x:mergeCell ref="A14:U14"/>
    <x:mergeCell ref="A24:U24"/>
    <x:mergeCell ref="A34:U34"/>
    <x:mergeCell ref="A46:U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 ht="26" customHeight="1">
      <x:c r="A1" s="162" t="str">
        <x:v>LibertyPass — P&amp;L and Cash Flow</x:v>
      </x:c>
      <x:c r="B1" s="162"/>
      <x:c r="C1" s="162"/>
      <x:c r="D1" s="162"/>
      <x:c r="E1" s="162"/>
      <x:c r="F1" s="162"/>
      <x:c r="G1" s="162"/>
      <x:c r="H1" s="162"/>
      <x:c r="I1" s="162"/>
      <x:c r="J1" s="162"/>
      <x:c r="K1" s="162"/>
      <x:c r="L1" s="162"/>
      <x:c r="M1" s="162"/>
      <x:c r="N1" s="162"/>
      <x:c r="O1" s="162"/>
      <x:c r="P1" s="162"/>
      <x:c r="Q1" s="162"/>
      <x:c r="R1" s="162"/>
      <x:c r="S1" s="162"/>
      <x:c r="T1" s="162"/>
      <x:c r="U1" s="162"/>
    </x:row>
    <x:row r="2">
      <x:c r="A2" s="163"/>
      <x:c r="B2" s="163"/>
      <x:c r="C2" s="163"/>
      <x:c r="D2" s="163"/>
      <x:c r="E2" s="163"/>
      <x:c r="F2" s="163"/>
      <x:c r="G2" s="163"/>
      <x:c r="H2" s="163"/>
      <x:c r="I2" s="163"/>
      <x:c r="J2" s="163"/>
      <x:c r="K2" s="163"/>
      <x:c r="L2" s="163"/>
      <x:c r="M2" s="163"/>
      <x:c r="N2" s="163"/>
      <x:c r="O2" s="163"/>
      <x:c r="P2" s="163"/>
      <x:c r="Q2" s="163"/>
      <x:c r="R2" s="163"/>
      <x:c r="S2" s="163"/>
      <x:c r="T2" s="163"/>
      <x:c r="U2" s="163"/>
    </x:row>
    <x:row r="3">
      <x:c r="A3" s="164" t="str">
        <x:v>Metric</x:v>
      </x:c>
      <x:c r="B3" s="165" t="str">
        <x:v>2027E</x:v>
      </x:c>
      <x:c r="C3" s="165" t="str">
        <x:v>2028E</x:v>
      </x:c>
      <x:c r="D3" s="165" t="str">
        <x:v>2029E</x:v>
      </x:c>
      <x:c r="E3" s="165" t="str">
        <x:v>2030E</x:v>
      </x:c>
      <x:c r="F3" s="165" t="str">
        <x:v>2031E</x:v>
      </x:c>
      <x:c r="G3" s="165" t="str">
        <x:v>2032E</x:v>
      </x:c>
      <x:c r="H3" s="165" t="str">
        <x:v>2033E</x:v>
      </x:c>
      <x:c r="I3" s="165" t="str">
        <x:v>2034E</x:v>
      </x:c>
      <x:c r="J3" s="165" t="str">
        <x:v>2035E</x:v>
      </x:c>
      <x:c r="K3" s="165" t="str">
        <x:v>2036E</x:v>
      </x:c>
      <x:c r="L3" s="165" t="str">
        <x:v>2037E</x:v>
      </x:c>
      <x:c r="M3" s="165" t="str">
        <x:v>2038E</x:v>
      </x:c>
      <x:c r="N3" s="165" t="str">
        <x:v>2039E</x:v>
      </x:c>
      <x:c r="O3" s="165" t="str">
        <x:v>2040E</x:v>
      </x:c>
      <x:c r="P3" s="165" t="str">
        <x:v>2041E</x:v>
      </x:c>
      <x:c r="Q3" s="165" t="str">
        <x:v>2042E</x:v>
      </x:c>
      <x:c r="R3" s="165" t="str">
        <x:v>2043E</x:v>
      </x:c>
      <x:c r="S3" s="165" t="str">
        <x:v>2044E</x:v>
      </x:c>
      <x:c r="T3" s="165" t="str">
        <x:v>2045E</x:v>
      </x:c>
      <x:c r="U3" s="165" t="str">
        <x:v>2046E</x:v>
      </x:c>
    </x:row>
    <x:row r="4" ht="20" customHeight="1">
      <x:c r="A4" s="176" t="str">
        <x:v>Income Statement ($mm)</x:v>
      </x:c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</x:row>
    <x:row r="5">
      <x:c r="A5" s="163" t="str">
        <x:v>Revenue</x:v>
      </x:c>
      <x:c r="B5" s="177" t="n">
        <x:f>'Revenue Build'!B30</x:f>
        <x:v>3.1222499999999997</x:v>
      </x:c>
      <x:c r="C5" s="177" t="n">
        <x:f>'Revenue Build'!C30</x:f>
        <x:v>8.26653125</x:v>
      </x:c>
      <x:c r="D5" s="177" t="n">
        <x:f>'Revenue Build'!D30</x:f>
        <x:v>19.38324375</x:v>
      </x:c>
      <x:c r="E5" s="177" t="n">
        <x:f>'Revenue Build'!E30</x:f>
        <x:v>41.59814499999999</x:v>
      </x:c>
      <x:c r="F5" s="177" t="n">
        <x:f>'Revenue Build'!F30</x:f>
        <x:v>78.9605642</x:v>
      </x:c>
      <x:c r="G5" s="177" t="n">
        <x:f>'Revenue Build'!G30</x:f>
        <x:v>139.0929278445</x:v>
      </x:c>
      <x:c r="H5" s="177" t="n">
        <x:f>'Revenue Build'!H30</x:f>
        <x:v>227.1160490312</x:v>
      </x:c>
      <x:c r="I5" s="177" t="n">
        <x:f>'Revenue Build'!I30</x:f>
        <x:v>356.73776923456</x:v>
      </x:c>
      <x:c r="J5" s="177" t="n">
        <x:f>'Revenue Build'!J30</x:f>
        <x:v>539.3205643084561</x:v>
      </x:c>
      <x:c r="K5" s="177" t="n">
        <x:f>'Revenue Build'!K30</x:f>
        <x:v>773.9077392993041</x:v>
      </x:c>
      <x:c r="L5" s="177" t="n">
        <x:f>'Revenue Build'!L30</x:f>
        <x:v>1070.4845441979487</x:v>
      </x:c>
      <x:c r="M5" s="177" t="n">
        <x:f>'Revenue Build'!M30</x:f>
        <x:v>1437.9631665167688</x:v>
      </x:c>
      <x:c r="N5" s="177" t="n">
        <x:f>'Revenue Build'!N30</x:f>
        <x:v>1749.2912112920758</x:v>
      </x:c>
      <x:c r="O5" s="177" t="n">
        <x:f>'Revenue Build'!O30</x:f>
        <x:v>2077.446655366657</x:v>
      </x:c>
      <x:c r="P5" s="177" t="n">
        <x:f>'Revenue Build'!P30</x:f>
        <x:v>2451.5066433614297</x:v>
      </x:c>
      <x:c r="Q5" s="177" t="n">
        <x:f>'Revenue Build'!Q30</x:f>
        <x:v>2767.3004492179193</x:v>
      </x:c>
      <x:c r="R5" s="177" t="n">
        <x:f>'Revenue Build'!R30</x:f>
        <x:v>2999.074134385638</x:v>
      </x:c>
      <x:c r="S5" s="177" t="n">
        <x:f>'Revenue Build'!S30</x:f>
        <x:v>3180.189678725566</x:v>
      </x:c>
      <x:c r="T5" s="177" t="n">
        <x:f>'Revenue Build'!T30</x:f>
        <x:v>3365.6068572015297</x:v>
      </x:c>
      <x:c r="U5" s="177" t="n">
        <x:f>'Revenue Build'!U30</x:f>
        <x:v>3548.3893940603243</x:v>
      </x:c>
    </x:row>
    <x:row r="6">
      <x:c r="A6" s="163" t="str">
        <x:v>Direct costs</x:v>
      </x:c>
      <x:c r="B6" s="177" t="n">
        <x:f>'Cost &amp; Headcount'!B30</x:f>
        <x:v>0.4229699999999999</x:v>
      </x:c>
      <x:c r="C6" s="177" t="n">
        <x:f>'Cost &amp; Headcount'!C30</x:f>
        <x:v>1.1677462500000002</x:v>
      </x:c>
      <x:c r="D6" s="177" t="n">
        <x:f>'Cost &amp; Headcount'!D30</x:f>
        <x:v>2.8754002499999993</x:v>
      </x:c>
      <x:c r="E6" s="177" t="n">
        <x:f>'Cost &amp; Headcount'!E30</x:f>
        <x:v>6.418967774999999</x:v>
      </x:c>
      <x:c r="F6" s="177" t="n">
        <x:f>'Cost &amp; Headcount'!F30</x:f>
        <x:v>12.452841803999998</x:v>
      </x:c>
      <x:c r="G6" s="177" t="n">
        <x:f>'Cost &amp; Headcount'!G30</x:f>
        <x:v>22.09893055649625</x:v>
      </x:c>
      <x:c r="H6" s="177" t="n">
        <x:f>'Cost &amp; Headcount'!H30</x:f>
        <x:v>36.183323947119</x:v>
      </x:c>
      <x:c r="I6" s="177" t="n">
        <x:f>'Cost &amp; Headcount'!I30</x:f>
        <x:v>56.611270897487515</x:v>
      </x:c>
      <x:c r="J6" s="177" t="n">
        <x:f>'Cost &amp; Headcount'!J30</x:f>
        <x:v>84.63326271354848</x:v>
      </x:c>
      <x:c r="K6" s="177" t="n">
        <x:f>'Cost &amp; Headcount'!K30</x:f>
        <x:v>120.50757022557558</x:v>
      </x:c>
      <x:c r="L6" s="177" t="n">
        <x:f>'Cost &amp; Headcount'!L30</x:f>
        <x:v>165.3125205995704</x:v>
      </x:c>
      <x:c r="M6" s="177" t="n">
        <x:f>'Cost &amp; Headcount'!M30</x:f>
        <x:v>219.80355713252442</x:v>
      </x:c>
      <x:c r="N6" s="177" t="n">
        <x:f>'Cost &amp; Headcount'!N30</x:f>
        <x:v>268.8325184642328</x:v>
      </x:c>
      <x:c r="O6" s="177" t="n">
        <x:f>'Cost &amp; Headcount'!O30</x:f>
        <x:v>321.4785161017354</x:v>
      </x:c>
      <x:c r="P6" s="177" t="n">
        <x:f>'Cost &amp; Headcount'!P30</x:f>
        <x:v>381.0581747555707</x:v>
      </x:c>
      <x:c r="Q6" s="177" t="n">
        <x:f>'Cost &amp; Headcount'!Q30</x:f>
        <x:v>434.76783819998445</x:v>
      </x:c>
      <x:c r="R6" s="177" t="n">
        <x:f>'Cost &amp; Headcount'!R30</x:f>
        <x:v>479.07769800703915</x:v>
      </x:c>
      <x:c r="S6" s="177" t="n">
        <x:f>'Cost &amp; Headcount'!S30</x:f>
        <x:v>517.4228620825567</x:v>
      </x:c>
      <x:c r="T6" s="177" t="n">
        <x:f>'Cost &amp; Headcount'!T30</x:f>
        <x:v>555.3723921261103</x:v>
      </x:c>
      <x:c r="U6" s="177" t="n">
        <x:f>'Cost &amp; Headcount'!U30</x:f>
        <x:v>589.2470576752067</x:v>
      </x:c>
    </x:row>
    <x:row r="7">
      <x:c r="A7" s="181" t="str">
        <x:v>Gross profit</x:v>
      </x:c>
      <x:c r="B7" s="182" t="n">
        <x:f>B5-B6</x:f>
        <x:v>2.69928</x:v>
      </x:c>
      <x:c r="C7" s="182" t="n">
        <x:f>C5-C6</x:f>
        <x:v>7.0987849999999995</x:v>
      </x:c>
      <x:c r="D7" s="182" t="n">
        <x:f>D5-D6</x:f>
        <x:v>16.5078435</x:v>
      </x:c>
      <x:c r="E7" s="182" t="n">
        <x:f>E5-E6</x:f>
        <x:v>35.17917722499999</x:v>
      </x:c>
      <x:c r="F7" s="182" t="n">
        <x:f>F5-F6</x:f>
        <x:v>66.50772239599999</x:v>
      </x:c>
      <x:c r="G7" s="182" t="n">
        <x:f>G5-G6</x:f>
        <x:v>116.99399728800375</x:v>
      </x:c>
      <x:c r="H7" s="182" t="n">
        <x:f>H5-H6</x:f>
        <x:v>190.932725084081</x:v>
      </x:c>
      <x:c r="I7" s="182" t="n">
        <x:f>I5-I6</x:f>
        <x:v>300.12649833707246</x:v>
      </x:c>
      <x:c r="J7" s="182" t="n">
        <x:f>J5-J6</x:f>
        <x:v>454.6873015949077</x:v>
      </x:c>
      <x:c r="K7" s="182" t="n">
        <x:f>K5-K6</x:f>
        <x:v>653.4001690737285</x:v>
      </x:c>
      <x:c r="L7" s="182" t="n">
        <x:f>L5-L6</x:f>
        <x:v>905.1720235983782</x:v>
      </x:c>
      <x:c r="M7" s="182" t="n">
        <x:f>M5-M6</x:f>
        <x:v>1218.1596093842443</x:v>
      </x:c>
      <x:c r="N7" s="182" t="n">
        <x:f>N5-N6</x:f>
        <x:v>1480.458692827843</x:v>
      </x:c>
      <x:c r="O7" s="182" t="n">
        <x:f>O5-O6</x:f>
        <x:v>1755.9681392649218</x:v>
      </x:c>
      <x:c r="P7" s="182" t="n">
        <x:f>P5-P6</x:f>
        <x:v>2070.448468605859</x:v>
      </x:c>
      <x:c r="Q7" s="182" t="n">
        <x:f>Q5-Q6</x:f>
        <x:v>2332.532611017935</x:v>
      </x:c>
      <x:c r="R7" s="182" t="n">
        <x:f>R5-R6</x:f>
        <x:v>2519.996436378599</x:v>
      </x:c>
      <x:c r="S7" s="182" t="n">
        <x:f>S5-S6</x:f>
        <x:v>2662.7668166430094</x:v>
      </x:c>
      <x:c r="T7" s="182" t="n">
        <x:f>T5-T6</x:f>
        <x:v>2810.2344650754194</x:v>
      </x:c>
      <x:c r="U7" s="182" t="n">
        <x:f>U5-U6</x:f>
        <x:v>2959.1423363851177</x:v>
      </x:c>
    </x:row>
    <x:row r="8">
      <x:c r="A8" s="210" t="str">
        <x:v>Gross margin</x:v>
      </x:c>
      <x:c r="B8" s="211" t="n">
        <x:f>B7/B5</x:f>
        <x:v>0.8645303867403316</x:v>
      </x:c>
      <x:c r="C8" s="211" t="n">
        <x:f>C7/C5</x:f>
        <x:v>0.8587380589651795</x:v>
      </x:c>
      <x:c r="D8" s="211" t="n">
        <x:f>D7/D5</x:f>
        <x:v>0.8516553634115034</x:v>
      </x:c>
      <x:c r="E8" s="211" t="n">
        <x:f>E7/E5</x:f>
        <x:v>0.8456910091784141</x:v>
      </x:c>
      <x:c r="F8" s="211" t="n">
        <x:f>F7/F5</x:f>
        <x:v>0.8422903644348579</x:v>
      </x:c>
      <x:c r="G8" s="211" t="n">
        <x:f>G7/G5</x:f>
        <x:v>0.8411211058753332</x:v>
      </x:c>
      <x:c r="H8" s="211" t="n">
        <x:f>H7/H5</x:f>
        <x:v>0.8406835443753765</x:v>
      </x:c>
      <x:c r="I8" s="211" t="n">
        <x:f>I7/I5</x:f>
        <x:v>0.8413084462041784</x:v>
      </x:c>
      <x:c r="J8" s="211" t="n">
        <x:f>J7/J5</x:f>
        <x:v>0.8430742895515778</x:v>
      </x:c>
      <x:c r="K8" s="211" t="n">
        <x:f>K7/K5</x:f>
        <x:v>0.8442869038437539</x:v>
      </x:c>
      <x:c r="L8" s="211" t="n">
        <x:f>L7/L5</x:f>
        <x:v>0.8455722490384675</x:v>
      </x:c>
      <x:c r="M8" s="211" t="n">
        <x:f>M7/M5</x:f>
        <x:v>0.8471424287835114</x:v>
      </x:c>
      <x:c r="N8" s="211" t="n">
        <x:f>N7/N5</x:f>
        <x:v>0.8463191738866248</x:v>
      </x:c>
      <x:c r="O8" s="211" t="n">
        <x:f>O7/O5</x:f>
        <x:v>0.8452530584738426</x:v>
      </x:c>
      <x:c r="P8" s="211" t="n">
        <x:f>P7/P5</x:f>
        <x:v>0.8445616389466212</x:v>
      </x:c>
      <x:c r="Q8" s="211" t="n">
        <x:f>Q7/Q5</x:f>
        <x:v>0.8428909884639175</x:v>
      </x:c>
      <x:c r="R8" s="211" t="n">
        <x:f>R7/R5</x:f>
        <x:v>0.8402581341640698</x:v>
      </x:c>
      <x:c r="S8" s="211" t="n">
        <x:f>S7/S5</x:f>
        <x:v>0.8372981128943512</x:v>
      </x:c>
      <x:c r="T8" s="211" t="n">
        <x:f>T7/T5</x:f>
        <x:v>0.8349859577514953</x:v>
      </x:c>
      <x:c r="U8" s="211" t="n">
        <x:f>U7/U5</x:f>
        <x:v>0.8339395730746034</x:v>
      </x:c>
    </x:row>
    <x:row r="9">
      <x:c r="A9" s="163" t="str">
        <x:v>Operating expenses</x:v>
      </x:c>
      <x:c r="B9" s="177" t="n">
        <x:f>'Cost &amp; Headcount'!B42</x:f>
        <x:v>16.101387500000005</x:v>
      </x:c>
      <x:c r="C9" s="177" t="n">
        <x:f>'Cost &amp; Headcount'!C42</x:f>
        <x:v>20.898826125000006</x:v>
      </x:c>
      <x:c r="D9" s="177" t="n">
        <x:f>'Cost &amp; Headcount'!D42</x:f>
        <x:v>31.010812898750004</x:v>
      </x:c>
      <x:c r="E9" s="177" t="n">
        <x:f>'Cost &amp; Headcount'!E42</x:f>
        <x:v>48.816711649225</x:v>
      </x:c>
      <x:c r="F9" s="177" t="n">
        <x:f>'Cost &amp; Headcount'!F42</x:f>
        <x:v>73.84160708786398</x:v>
      </x:c>
      <x:c r="G9" s="177" t="n">
        <x:f>'Cost &amp; Headcount'!G42</x:f>
        <x:v>109.96826114424942</x:v>
      </x:c>
      <x:c r="H9" s="177" t="n">
        <x:f>'Cost &amp; Headcount'!H42</x:f>
        <x:v>157.30371221484896</x:v>
      </x:c>
      <x:c r="I9" s="177" t="n">
        <x:f>'Cost &amp; Headcount'!I42</x:f>
        <x:v>220.98676699055278</x:v>
      </x:c>
      <x:c r="J9" s="177" t="n">
        <x:f>'Cost &amp; Headcount'!J42</x:f>
        <x:v>301.1795698973721</x:v>
      </x:c>
      <x:c r="K9" s="177" t="n">
        <x:f>'Cost &amp; Headcount'!K42</x:f>
        <x:v>402.0924618390727</x:v>
      </x:c>
      <x:c r="L9" s="177" t="n">
        <x:f>'Cost &amp; Headcount'!L42</x:f>
        <x:v>519.1140412177347</x:v>
      </x:c>
      <x:c r="M9" s="177" t="n">
        <x:f>'Cost &amp; Headcount'!M42</x:f>
        <x:v>653.16515613046</x:v>
      </x:c>
      <x:c r="N9" s="177" t="n">
        <x:f>'Cost &amp; Headcount'!N42</x:f>
        <x:v>785.4283809684522</x:v>
      </x:c>
      <x:c r="O9" s="177" t="n">
        <x:f>'Cost &amp; Headcount'!O42</x:f>
        <x:v>928.062154947601</x:v>
      </x:c>
      <x:c r="P9" s="177" t="n">
        <x:f>'Cost &amp; Headcount'!P42</x:f>
        <x:v>1086.0123539119409</x:v>
      </x:c>
      <x:c r="Q9" s="177" t="n">
        <x:f>'Cost &amp; Headcount'!Q42</x:f>
        <x:v>1233.714623933255</x:v>
      </x:c>
      <x:c r="R9" s="177" t="n">
        <x:f>'Cost &amp; Headcount'!R42</x:f>
        <x:v>1353.433378632827</x:v>
      </x:c>
      <x:c r="S9" s="177" t="n">
        <x:f>'Cost &amp; Headcount'!S42</x:f>
        <x:v>1463.5943826985445</x:v>
      </x:c>
      <x:c r="T9" s="177" t="n">
        <x:f>'Cost &amp; Headcount'!T42</x:f>
        <x:v>1570.5870507219088</x:v>
      </x:c>
      <x:c r="U9" s="177" t="n">
        <x:f>'Cost &amp; Headcount'!U42</x:f>
        <x:v>1676.6479999181684</x:v>
      </x:c>
    </x:row>
    <x:row r="10">
      <x:c r="A10" s="181" t="str">
        <x:v>EBITDA</x:v>
      </x:c>
      <x:c r="B10" s="182" t="n">
        <x:f>B7-B9</x:f>
        <x:v>-13.402107500000005</x:v>
      </x:c>
      <x:c r="C10" s="182" t="n">
        <x:f>C7-C9</x:f>
        <x:v>-13.800041125000007</x:v>
      </x:c>
      <x:c r="D10" s="182" t="n">
        <x:f>D7-D9</x:f>
        <x:v>-14.502969398750004</x:v>
      </x:c>
      <x:c r="E10" s="182" t="n">
        <x:f>E7-E9</x:f>
        <x:v>-13.63753442422501</x:v>
      </x:c>
      <x:c r="F10" s="182" t="n">
        <x:f>F7-F9</x:f>
        <x:v>-7.333884691863986</x:v>
      </x:c>
      <x:c r="G10" s="182" t="n">
        <x:f>G7-G9</x:f>
        <x:v>7.0257361437543295</x:v>
      </x:c>
      <x:c r="H10" s="182" t="n">
        <x:f>H7-H9</x:f>
        <x:v>33.62901286923204</x:v>
      </x:c>
      <x:c r="I10" s="182" t="n">
        <x:f>I7-I9</x:f>
        <x:v>79.13973134651968</x:v>
      </x:c>
      <x:c r="J10" s="182" t="n">
        <x:f>J7-J9</x:f>
        <x:v>153.50773169753558</x:v>
      </x:c>
      <x:c r="K10" s="182" t="n">
        <x:f>K7-K9</x:f>
        <x:v>251.30770723465582</x:v>
      </x:c>
      <x:c r="L10" s="182" t="n">
        <x:f>L7-L9</x:f>
        <x:v>386.0579823806436</x:v>
      </x:c>
      <x:c r="M10" s="182" t="n">
        <x:f>M7-M9</x:f>
        <x:v>564.9944532537843</x:v>
      </x:c>
      <x:c r="N10" s="182" t="n">
        <x:f>N7-N9</x:f>
        <x:v>695.0303118593907</x:v>
      </x:c>
      <x:c r="O10" s="182" t="n">
        <x:f>O7-O9</x:f>
        <x:v>827.9059843173208</x:v>
      </x:c>
      <x:c r="P10" s="182" t="n">
        <x:f>P7-P9</x:f>
        <x:v>984.4361146939182</x:v>
      </x:c>
      <x:c r="Q10" s="182" t="n">
        <x:f>Q7-Q9</x:f>
        <x:v>1098.8179870846798</x:v>
      </x:c>
      <x:c r="R10" s="182" t="n">
        <x:f>R7-R9</x:f>
        <x:v>1166.5630577457719</x:v>
      </x:c>
      <x:c r="S10" s="182" t="n">
        <x:f>S7-S9</x:f>
        <x:v>1199.172433944465</x:v>
      </x:c>
      <x:c r="T10" s="182" t="n">
        <x:f>T7-T9</x:f>
        <x:v>1239.6474143535106</x:v>
      </x:c>
      <x:c r="U10" s="182" t="n">
        <x:f>U7-U9</x:f>
        <x:v>1282.4943364669493</x:v>
      </x:c>
    </x:row>
    <x:row r="11">
      <x:c r="A11" s="210" t="str">
        <x:v>EBITDA margin</x:v>
      </x:c>
      <x:c r="B11" s="211" t="n">
        <x:f>B10/B5</x:f>
        <x:v>-4.292451757546643</x:v>
      </x:c>
      <x:c r="C11" s="211" t="n">
        <x:f>C10/C5</x:f>
        <x:v>-1.6693871598199073</x:v>
      </x:c>
      <x:c r="D11" s="211" t="n">
        <x:f>D10/D5</x:f>
        <x:v>-0.7482219996717528</x:v>
      </x:c>
      <x:c r="E11" s="211" t="n">
        <x:f>E10/E5</x:f>
        <x:v>-0.32783996556156564</x:v>
      </x:c>
      <x:c r="F11" s="211" t="n">
        <x:f>F10/F5</x:f>
        <x:v>-0.09288034813540487</x:v>
      </x:c>
      <x:c r="G11" s="211" t="n">
        <x:f>G10/G5</x:f>
        <x:v>0.05051109537077834</x:v>
      </x:c>
      <x:c r="H11" s="211" t="n">
        <x:f>H10/H5</x:f>
        <x:v>0.1480697335687284</x:v>
      </x:c>
      <x:c r="I11" s="211" t="n">
        <x:f>I10/I5</x:f>
        <x:v>0.2218428721924429</x:v>
      </x:c>
      <x:c r="J11" s="211" t="n">
        <x:f>J10/J5</x:f>
        <x:v>0.2846317048829222</x:v>
      </x:c>
      <x:c r="K11" s="211" t="n">
        <x:f>K10/K5</x:f>
        <x:v>0.3247256675093982</x:v>
      </x:c>
      <x:c r="L11" s="211" t="n">
        <x:f>L10/L5</x:f>
        <x:v>0.3606385393166925</x:v>
      </x:c>
      <x:c r="M11" s="211" t="n">
        <x:f>M10/M5</x:f>
        <x:v>0.3929130219812175</x:v>
      </x:c>
      <x:c r="N11" s="211" t="n">
        <x:f>N10/N5</x:f>
        <x:v>0.3973211020399638</x:v>
      </x:c>
      <x:c r="O11" s="211" t="n">
        <x:f>O10/O5</x:f>
        <x:v>0.3985209353889283</x:v>
      </x:c>
      <x:c r="P11" s="211" t="n">
        <x:f>P10/P5</x:f>
        <x:v>0.40156371485254877</x:v>
      </x:c>
      <x:c r="Q11" s="211" t="n">
        <x:f>Q10/Q5</x:f>
        <x:v>0.39707216735184003</x:v>
      </x:c>
      <x:c r="R11" s="211" t="n">
        <x:f>R10/R5</x:f>
        <x:v>0.3889743985887641</x:v>
      </x:c>
      <x:c r="S11" s="211" t="n">
        <x:f>S10/S5</x:f>
        <x:v>0.37707575808026117</x:v>
      </x:c>
      <x:c r="T11" s="211" t="n">
        <x:f>T10/T5</x:f>
        <x:v>0.3683280510618717</x:v>
      </x:c>
      <x:c r="U11" s="211" t="n">
        <x:f>U10/U5</x:f>
        <x:v>0.36142998809931237</x:v>
      </x:c>
    </x:row>
    <x:row r="12">
      <x:c r="A12" s="163" t="str">
        <x:v>Depreciation &amp; amortization</x:v>
      </x:c>
      <x:c r="B12" s="177" t="n">
        <x:f>('Cost &amp; Headcount'!B49)/'Assumptions'!B11</x:f>
        <x:v>0.05904999999999999</x:v>
      </x:c>
      <x:c r="C12" s="177" t="n">
        <x:f>('Cost &amp; Headcount'!B49+'Cost &amp; Headcount'!C49)/'Assumptions'!B11</x:f>
        <x:v>0.07772499999999999</x:v>
      </x:c>
      <x:c r="D12" s="177" t="n">
        <x:f>('Cost &amp; Headcount'!B49+'Cost &amp; Headcount'!C49+'Cost &amp; Headcount'!D49)/'Assumptions'!B11</x:f>
        <x:v>0.12168749999999999</x:v>
      </x:c>
      <x:c r="E12" s="177" t="n">
        <x:f>('Cost &amp; Headcount'!B49+'Cost &amp; Headcount'!C49+'Cost &amp; Headcount'!D49+'Cost &amp; Headcount'!E49)/'Assumptions'!B11</x:f>
        <x:v>0.219</x:v>
      </x:c>
      <x:c r="F12" s="177" t="n">
        <x:f>('Cost &amp; Headcount'!B49+'Cost &amp; Headcount'!C49+'Cost &amp; Headcount'!D49+'Cost &amp; Headcount'!E49+'Cost &amp; Headcount'!F49)/'Assumptions'!B11</x:f>
        <x:v>0.4090999999999999</x:v>
      </x:c>
      <x:c r="G12" s="177" t="n">
        <x:f>('Cost &amp; Headcount'!C49+'Cost &amp; Headcount'!D49+'Cost &amp; Headcount'!E49+'Cost &amp; Headcount'!F49+'Cost &amp; Headcount'!G49)/'Assumptions'!B11</x:f>
        <x:v>0.66083</x:v>
      </x:c>
      <x:c r="H12" s="177" t="n">
        <x:f>('Cost &amp; Headcount'!D49+'Cost &amp; Headcount'!E49+'Cost &amp; Headcount'!F49+'Cost &amp; Headcount'!G49+'Cost &amp; Headcount'!H49)/'Assumptions'!B11</x:f>
        <x:v>1.090995</x:v>
      </x:c>
      <x:c r="I12" s="177" t="n">
        <x:f>('Cost &amp; Headcount'!E49+'Cost &amp; Headcount'!F49+'Cost &amp; Headcount'!G49+'Cost &amp; Headcount'!H49+'Cost &amp; Headcount'!I49)/'Assumptions'!B11</x:f>
        <x:v>1.7012820999999996</x:v>
      </x:c>
      <x:c r="J12" s="177" t="n">
        <x:f>('Cost &amp; Headcount'!F49+'Cost &amp; Headcount'!G49+'Cost &amp; Headcount'!H49+'Cost &amp; Headcount'!I49+'Cost &amp; Headcount'!J49)/'Assumptions'!B11</x:f>
        <x:v>2.49332712</x:v>
      </x:c>
      <x:c r="K12" s="177" t="n">
        <x:f>('Cost &amp; Headcount'!G49+'Cost &amp; Headcount'!H49+'Cost &amp; Headcount'!I49+'Cost &amp; Headcount'!J49+'Cost &amp; Headcount'!K49)/'Assumptions'!B11</x:f>
        <x:v>3.453528863999999</x:v>
      </x:c>
      <x:c r="L12" s="177" t="n">
        <x:f>('Cost &amp; Headcount'!H49+'Cost &amp; Headcount'!I49+'Cost &amp; Headcount'!J49+'Cost &amp; Headcount'!K49+'Cost &amp; Headcount'!L49)/'Assumptions'!B11</x:f>
        <x:v>4.536160589999999</x:v>
      </x:c>
      <x:c r="M12" s="177" t="n">
        <x:f>('Cost &amp; Headcount'!I49+'Cost &amp; Headcount'!J49+'Cost &amp; Headcount'!K49+'Cost &amp; Headcount'!L49+'Cost &amp; Headcount'!M49)/'Assumptions'!B11</x:f>
        <x:v>5.7611350219999995</x:v>
      </x:c>
      <x:c r="N12" s="177" t="n">
        <x:f>('Cost &amp; Headcount'!J49+'Cost &amp; Headcount'!K49+'Cost &amp; Headcount'!L49+'Cost &amp; Headcount'!M49+'Cost &amp; Headcount'!N49)/'Assumptions'!B11</x:f>
        <x:v>6.889253378379999</x:v>
      </x:c>
      <x:c r="O12" s="177" t="n">
        <x:f>('Cost &amp; Headcount'!K49+'Cost &amp; Headcount'!L49+'Cost &amp; Headcount'!M49+'Cost &amp; Headcount'!N49+'Cost &amp; Headcount'!O49)/'Assumptions'!B11</x:f>
        <x:v>8.031820397824799</x:v>
      </x:c>
      <x:c r="P12" s="177" t="n">
        <x:f>('Cost &amp; Headcount'!L49+'Cost &amp; Headcount'!M49+'Cost &amp; Headcount'!N49+'Cost &amp; Headcount'!O49+'Cost &amp; Headcount'!P49)/'Assumptions'!B11</x:f>
        <x:v>9.161897764546989</x:v>
      </x:c>
      <x:c r="Q12" s="177" t="n">
        <x:f>('Cost &amp; Headcount'!M49+'Cost &amp; Headcount'!N49+'Cost &amp; Headcount'!O49+'Cost &amp; Headcount'!P49+'Cost &amp; Headcount'!Q49)/'Assumptions'!B11</x:f>
        <x:v>10.196142645515625</x:v>
      </x:c>
      <x:c r="R12" s="177" t="n">
        <x:f>('Cost &amp; Headcount'!N49+'Cost &amp; Headcount'!O49+'Cost &amp; Headcount'!P49+'Cost &amp; Headcount'!Q49+'Cost &amp; Headcount'!R49)/'Assumptions'!B11</x:f>
        <x:v>11.000377426226203</x:v>
      </x:c>
      <x:c r="S12" s="177" t="n">
        <x:f>('Cost &amp; Headcount'!O49+'Cost &amp; Headcount'!P49+'Cost &amp; Headcount'!Q49+'Cost &amp; Headcount'!R49+'Cost &amp; Headcount'!S49)/'Assumptions'!B11</x:f>
        <x:v>11.719126661562393</x:v>
      </x:c>
      <x:c r="T12" s="177" t="n">
        <x:f>('Cost &amp; Headcount'!P49+'Cost &amp; Headcount'!Q49+'Cost &amp; Headcount'!R49+'Cost &amp; Headcount'!S49+'Cost &amp; Headcount'!T49)/'Assumptions'!B11</x:f>
        <x:v>11.82420173507636</x:v>
      </x:c>
      <x:c r="U12" s="177" t="n">
        <x:f>('Cost &amp; Headcount'!Q49+'Cost &amp; Headcount'!R49+'Cost &amp; Headcount'!S49+'Cost &amp; Headcount'!T49+'Cost &amp; Headcount'!U49)/'Assumptions'!B11</x:f>
        <x:v>11.67623952874406</x:v>
      </x:c>
    </x:row>
    <x:row r="13">
      <x:c r="A13" s="191" t="str">
        <x:v>EBIT</x:v>
      </x:c>
      <x:c r="B13" s="192" t="n">
        <x:f>B10-B12</x:f>
        <x:v>-13.461157500000004</x:v>
      </x:c>
      <x:c r="C13" s="192" t="n">
        <x:f>C10-C12</x:f>
        <x:v>-13.877766125000006</x:v>
      </x:c>
      <x:c r="D13" s="192" t="n">
        <x:f>D10-D12</x:f>
        <x:v>-14.624656898750004</x:v>
      </x:c>
      <x:c r="E13" s="192" t="n">
        <x:f>E10-E12</x:f>
        <x:v>-13.856534424225009</x:v>
      </x:c>
      <x:c r="F13" s="192" t="n">
        <x:f>F10-F12</x:f>
        <x:v>-7.7429846918639855</x:v>
      </x:c>
      <x:c r="G13" s="192" t="n">
        <x:f>G10-G12</x:f>
        <x:v>6.36490614375433</x:v>
      </x:c>
      <x:c r="H13" s="192" t="n">
        <x:f>H10-H12</x:f>
        <x:v>32.53801786923204</x:v>
      </x:c>
      <x:c r="I13" s="192" t="n">
        <x:f>I10-I12</x:f>
        <x:v>77.43844924651968</x:v>
      </x:c>
      <x:c r="J13" s="192" t="n">
        <x:f>J10-J12</x:f>
        <x:v>151.01440457753557</x:v>
      </x:c>
      <x:c r="K13" s="192" t="n">
        <x:f>K10-K12</x:f>
        <x:v>247.85417837065583</x:v>
      </x:c>
      <x:c r="L13" s="192" t="n">
        <x:f>L10-L12</x:f>
        <x:v>381.52182179064357</x:v>
      </x:c>
      <x:c r="M13" s="192" t="n">
        <x:f>M10-M12</x:f>
        <x:v>559.2333182317843</x:v>
      </x:c>
      <x:c r="N13" s="192" t="n">
        <x:f>N10-N12</x:f>
        <x:v>688.1410584810108</x:v>
      </x:c>
      <x:c r="O13" s="192" t="n">
        <x:f>O10-O12</x:f>
        <x:v>819.8741639194959</x:v>
      </x:c>
      <x:c r="P13" s="192" t="n">
        <x:f>P10-P12</x:f>
        <x:v>975.2742169293712</x:v>
      </x:c>
      <x:c r="Q13" s="192" t="n">
        <x:f>Q10-Q12</x:f>
        <x:v>1088.621844439164</x:v>
      </x:c>
      <x:c r="R13" s="192" t="n">
        <x:f>R10-R12</x:f>
        <x:v>1155.5626803195457</x:v>
      </x:c>
      <x:c r="S13" s="192" t="n">
        <x:f>S10-S12</x:f>
        <x:v>1187.4533072829026</x:v>
      </x:c>
      <x:c r="T13" s="192" t="n">
        <x:f>T10-T12</x:f>
        <x:v>1227.8232126184344</x:v>
      </x:c>
      <x:c r="U13" s="192" t="n">
        <x:f>U10-U12</x:f>
        <x:v>1270.8180969382054</x:v>
      </x:c>
    </x:row>
    <x:row r="14">
      <x:c r="A14" s="163" t="str">
        <x:v>Cash taxes</x:v>
      </x:c>
      <x:c r="B14" s="177" t="n">
        <x:f>IF(B13&gt;0,B13*'Assumptions'!B8,0)</x:f>
        <x:v>0</x:v>
      </x:c>
      <x:c r="C14" s="177" t="n">
        <x:f>IF(C13&gt;0,C13*'Assumptions'!B8,0)</x:f>
        <x:v>0</x:v>
      </x:c>
      <x:c r="D14" s="177" t="n">
        <x:f>IF(D13&gt;0,D13*'Assumptions'!B8,0)</x:f>
        <x:v>0</x:v>
      </x:c>
      <x:c r="E14" s="177" t="n">
        <x:f>IF(E13&gt;0,E13*'Assumptions'!B8,0)</x:f>
        <x:v>0</x:v>
      </x:c>
      <x:c r="F14" s="177" t="n">
        <x:f>IF(F13&gt;0,F13*'Assumptions'!B8,0)</x:f>
        <x:v>0</x:v>
      </x:c>
      <x:c r="G14" s="177" t="n">
        <x:f>IF(G13&gt;0,G13*'Assumptions'!B8,0)</x:f>
        <x:v>1.5912265359385824</x:v>
      </x:c>
      <x:c r="H14" s="177" t="n">
        <x:f>IF(H13&gt;0,H13*'Assumptions'!B8,0)</x:f>
        <x:v>8.13450446730801</x:v>
      </x:c>
      <x:c r="I14" s="177" t="n">
        <x:f>IF(I13&gt;0,I13*'Assumptions'!B8,0)</x:f>
        <x:v>19.35961231162992</x:v>
      </x:c>
      <x:c r="J14" s="177" t="n">
        <x:f>IF(J13&gt;0,J13*'Assumptions'!B8,0)</x:f>
        <x:v>37.75360114438389</x:v>
      </x:c>
      <x:c r="K14" s="177" t="n">
        <x:f>IF(K13&gt;0,K13*'Assumptions'!B8,0)</x:f>
        <x:v>61.96354459266396</x:v>
      </x:c>
      <x:c r="L14" s="177" t="n">
        <x:f>IF(L13&gt;0,L13*'Assumptions'!B8,0)</x:f>
        <x:v>95.38045544766089</x:v>
      </x:c>
      <x:c r="M14" s="177" t="n">
        <x:f>IF(M13&gt;0,M13*'Assumptions'!B8,0)</x:f>
        <x:v>139.80832955794608</x:v>
      </x:c>
      <x:c r="N14" s="177" t="n">
        <x:f>IF(N13&gt;0,N13*'Assumptions'!B8,0)</x:f>
        <x:v>172.0352646202527</x:v>
      </x:c>
      <x:c r="O14" s="177" t="n">
        <x:f>IF(O13&gt;0,O13*'Assumptions'!B8,0)</x:f>
        <x:v>204.96854097987398</x:v>
      </x:c>
      <x:c r="P14" s="177" t="n">
        <x:f>IF(P13&gt;0,P13*'Assumptions'!B8,0)</x:f>
        <x:v>243.8185542323428</x:v>
      </x:c>
      <x:c r="Q14" s="177" t="n">
        <x:f>IF(Q13&gt;0,Q13*'Assumptions'!B8,0)</x:f>
        <x:v>272.155461109791</x:v>
      </x:c>
      <x:c r="R14" s="177" t="n">
        <x:f>IF(R13&gt;0,R13*'Assumptions'!B8,0)</x:f>
        <x:v>288.89067007988643</x:v>
      </x:c>
      <x:c r="S14" s="177" t="n">
        <x:f>IF(S13&gt;0,S13*'Assumptions'!B8,0)</x:f>
        <x:v>296.86332682072566</x:v>
      </x:c>
      <x:c r="T14" s="177" t="n">
        <x:f>IF(T13&gt;0,T13*'Assumptions'!B8,0)</x:f>
        <x:v>306.9558031546086</x:v>
      </x:c>
      <x:c r="U14" s="177" t="n">
        <x:f>IF(U13&gt;0,U13*'Assumptions'!B8,0)</x:f>
        <x:v>317.70452423455134</x:v>
      </x:c>
    </x:row>
    <x:row r="15">
      <x:c r="A15" s="191" t="str">
        <x:v>Net income</x:v>
      </x:c>
      <x:c r="B15" s="192" t="n">
        <x:f>B13-B14</x:f>
        <x:v>-13.461157500000004</x:v>
      </x:c>
      <x:c r="C15" s="192" t="n">
        <x:f>C13-C14</x:f>
        <x:v>-13.877766125000006</x:v>
      </x:c>
      <x:c r="D15" s="192" t="n">
        <x:f>D13-D14</x:f>
        <x:v>-14.624656898750004</x:v>
      </x:c>
      <x:c r="E15" s="192" t="n">
        <x:f>E13-E14</x:f>
        <x:v>-13.856534424225009</x:v>
      </x:c>
      <x:c r="F15" s="192" t="n">
        <x:f>F13-F14</x:f>
        <x:v>-7.7429846918639855</x:v>
      </x:c>
      <x:c r="G15" s="192" t="n">
        <x:f>G13-G14</x:f>
        <x:v>4.7736796078157475</x:v>
      </x:c>
      <x:c r="H15" s="192" t="n">
        <x:f>H13-H14</x:f>
        <x:v>24.40351340192403</x:v>
      </x:c>
      <x:c r="I15" s="192" t="n">
        <x:f>I13-I14</x:f>
        <x:v>58.078836934889765</x:v>
      </x:c>
      <x:c r="J15" s="192" t="n">
        <x:f>J13-J14</x:f>
        <x:v>113.26080343315168</x:v>
      </x:c>
      <x:c r="K15" s="192" t="n">
        <x:f>K13-K14</x:f>
        <x:v>185.89063377799187</x:v>
      </x:c>
      <x:c r="L15" s="192" t="n">
        <x:f>L13-L14</x:f>
        <x:v>286.1413663429827</x:v>
      </x:c>
      <x:c r="M15" s="192" t="n">
        <x:f>M13-M14</x:f>
        <x:v>419.42498867383824</x:v>
      </x:c>
      <x:c r="N15" s="192" t="n">
        <x:f>N13-N14</x:f>
        <x:v>516.105793860758</x:v>
      </x:c>
      <x:c r="O15" s="192" t="n">
        <x:f>O13-O14</x:f>
        <x:v>614.9056229396219</x:v>
      </x:c>
      <x:c r="P15" s="192" t="n">
        <x:f>P13-P14</x:f>
        <x:v>731.4556626970284</x:v>
      </x:c>
      <x:c r="Q15" s="192" t="n">
        <x:f>Q13-Q14</x:f>
        <x:v>816.466383329373</x:v>
      </x:c>
      <x:c r="R15" s="192" t="n">
        <x:f>R13-R14</x:f>
        <x:v>866.6720102396594</x:v>
      </x:c>
      <x:c r="S15" s="192" t="n">
        <x:f>S13-S14</x:f>
        <x:v>890.589980462177</x:v>
      </x:c>
      <x:c r="T15" s="192" t="n">
        <x:f>T13-T14</x:f>
        <x:v>920.8674094638258</x:v>
      </x:c>
      <x:c r="U15" s="192" t="n">
        <x:f>U13-U14</x:f>
        <x:v>953.113572703654</x:v>
      </x:c>
    </x:row>
    <x:row r="16">
      <x:c r="A16" s="163"/>
      <x:c r="B16" s="163"/>
      <x:c r="C16" s="163"/>
      <x:c r="D16" s="163"/>
      <x:c r="E16" s="163"/>
      <x:c r="F16" s="163"/>
      <x:c r="G16" s="163"/>
      <x:c r="H16" s="163"/>
      <x:c r="I16" s="163"/>
      <x:c r="J16" s="163"/>
      <x:c r="K16" s="163"/>
      <x:c r="L16" s="163"/>
      <x:c r="M16" s="163"/>
      <x:c r="N16" s="163"/>
      <x:c r="O16" s="163"/>
      <x:c r="P16" s="163"/>
      <x:c r="Q16" s="163"/>
      <x:c r="R16" s="163"/>
      <x:c r="S16" s="163"/>
      <x:c r="T16" s="163"/>
      <x:c r="U16" s="163"/>
    </x:row>
    <x:row r="17" ht="20" customHeight="1">
      <x:c r="A17" s="176" t="str">
        <x:v>Cash Flow &amp; Funding ($mm)</x:v>
      </x:c>
      <x:c r="B17" s="176"/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  <x:c r="Q17" s="176"/>
      <x:c r="R17" s="176"/>
      <x:c r="S17" s="176"/>
      <x:c r="T17" s="176"/>
      <x:c r="U17" s="176"/>
    </x:row>
    <x:row r="18">
      <x:c r="A18" s="163" t="str">
        <x:v>Net income</x:v>
      </x:c>
      <x:c r="B18" s="177" t="n">
        <x:f>B15</x:f>
        <x:v>-13.461157500000004</x:v>
      </x:c>
      <x:c r="C18" s="177" t="n">
        <x:f>C15</x:f>
        <x:v>-13.877766125000006</x:v>
      </x:c>
      <x:c r="D18" s="177" t="n">
        <x:f>D15</x:f>
        <x:v>-14.624656898750004</x:v>
      </x:c>
      <x:c r="E18" s="177" t="n">
        <x:f>E15</x:f>
        <x:v>-13.856534424225009</x:v>
      </x:c>
      <x:c r="F18" s="177" t="n">
        <x:f>F15</x:f>
        <x:v>-7.7429846918639855</x:v>
      </x:c>
      <x:c r="G18" s="177" t="n">
        <x:f>G15</x:f>
        <x:v>4.7736796078157475</x:v>
      </x:c>
      <x:c r="H18" s="177" t="n">
        <x:f>H15</x:f>
        <x:v>24.40351340192403</x:v>
      </x:c>
      <x:c r="I18" s="177" t="n">
        <x:f>I15</x:f>
        <x:v>58.078836934889765</x:v>
      </x:c>
      <x:c r="J18" s="177" t="n">
        <x:f>J15</x:f>
        <x:v>113.26080343315168</x:v>
      </x:c>
      <x:c r="K18" s="177" t="n">
        <x:f>K15</x:f>
        <x:v>185.89063377799187</x:v>
      </x:c>
      <x:c r="L18" s="177" t="n">
        <x:f>L15</x:f>
        <x:v>286.1413663429827</x:v>
      </x:c>
      <x:c r="M18" s="177" t="n">
        <x:f>M15</x:f>
        <x:v>419.42498867383824</x:v>
      </x:c>
      <x:c r="N18" s="177" t="n">
        <x:f>N15</x:f>
        <x:v>516.105793860758</x:v>
      </x:c>
      <x:c r="O18" s="177" t="n">
        <x:f>O15</x:f>
        <x:v>614.9056229396219</x:v>
      </x:c>
      <x:c r="P18" s="177" t="n">
        <x:f>P15</x:f>
        <x:v>731.4556626970284</x:v>
      </x:c>
      <x:c r="Q18" s="177" t="n">
        <x:f>Q15</x:f>
        <x:v>816.466383329373</x:v>
      </x:c>
      <x:c r="R18" s="177" t="n">
        <x:f>R15</x:f>
        <x:v>866.6720102396594</x:v>
      </x:c>
      <x:c r="S18" s="177" t="n">
        <x:f>S15</x:f>
        <x:v>890.589980462177</x:v>
      </x:c>
      <x:c r="T18" s="177" t="n">
        <x:f>T15</x:f>
        <x:v>920.8674094638258</x:v>
      </x:c>
      <x:c r="U18" s="177" t="n">
        <x:f>U15</x:f>
        <x:v>953.113572703654</x:v>
      </x:c>
    </x:row>
    <x:row r="19">
      <x:c r="A19" s="163" t="str">
        <x:v>D&amp;A</x:v>
      </x:c>
      <x:c r="B19" s="177" t="n">
        <x:f>B12</x:f>
        <x:v>0.05904999999999999</x:v>
      </x:c>
      <x:c r="C19" s="177" t="n">
        <x:f>C12</x:f>
        <x:v>0.07772499999999999</x:v>
      </x:c>
      <x:c r="D19" s="177" t="n">
        <x:f>D12</x:f>
        <x:v>0.12168749999999999</x:v>
      </x:c>
      <x:c r="E19" s="177" t="n">
        <x:f>E12</x:f>
        <x:v>0.219</x:v>
      </x:c>
      <x:c r="F19" s="177" t="n">
        <x:f>F12</x:f>
        <x:v>0.4090999999999999</x:v>
      </x:c>
      <x:c r="G19" s="177" t="n">
        <x:f>G12</x:f>
        <x:v>0.66083</x:v>
      </x:c>
      <x:c r="H19" s="177" t="n">
        <x:f>H12</x:f>
        <x:v>1.090995</x:v>
      </x:c>
      <x:c r="I19" s="177" t="n">
        <x:f>I12</x:f>
        <x:v>1.7012820999999996</x:v>
      </x:c>
      <x:c r="J19" s="177" t="n">
        <x:f>J12</x:f>
        <x:v>2.49332712</x:v>
      </x:c>
      <x:c r="K19" s="177" t="n">
        <x:f>K12</x:f>
        <x:v>3.453528863999999</x:v>
      </x:c>
      <x:c r="L19" s="177" t="n">
        <x:f>L12</x:f>
        <x:v>4.536160589999999</x:v>
      </x:c>
      <x:c r="M19" s="177" t="n">
        <x:f>M12</x:f>
        <x:v>5.7611350219999995</x:v>
      </x:c>
      <x:c r="N19" s="177" t="n">
        <x:f>N12</x:f>
        <x:v>6.889253378379999</x:v>
      </x:c>
      <x:c r="O19" s="177" t="n">
        <x:f>O12</x:f>
        <x:v>8.031820397824799</x:v>
      </x:c>
      <x:c r="P19" s="177" t="n">
        <x:f>P12</x:f>
        <x:v>9.161897764546989</x:v>
      </x:c>
      <x:c r="Q19" s="177" t="n">
        <x:f>Q12</x:f>
        <x:v>10.196142645515625</x:v>
      </x:c>
      <x:c r="R19" s="177" t="n">
        <x:f>R12</x:f>
        <x:v>11.000377426226203</x:v>
      </x:c>
      <x:c r="S19" s="177" t="n">
        <x:f>S12</x:f>
        <x:v>11.719126661562393</x:v>
      </x:c>
      <x:c r="T19" s="177" t="n">
        <x:f>T12</x:f>
        <x:v>11.82420173507636</x:v>
      </x:c>
      <x:c r="U19" s="177" t="n">
        <x:f>U12</x:f>
        <x:v>11.67623952874406</x:v>
      </x:c>
    </x:row>
    <x:row r="20">
      <x:c r="A20" s="163" t="str">
        <x:v>Net working capital</x:v>
      </x:c>
      <x:c r="B20" s="177" t="n">
        <x:f>B5*'Assumptions'!B9</x:f>
        <x:v>0.24977999999999997</x:v>
      </x:c>
      <x:c r="C20" s="177" t="n">
        <x:f>C5*'Assumptions'!B9</x:f>
        <x:v>0.6613225</x:v>
      </x:c>
      <x:c r="D20" s="177" t="n">
        <x:f>D5*'Assumptions'!B9</x:f>
        <x:v>1.5506594999999999</x:v>
      </x:c>
      <x:c r="E20" s="177" t="n">
        <x:f>E5*'Assumptions'!B9</x:f>
        <x:v>3.327851599999999</x:v>
      </x:c>
      <x:c r="F20" s="177" t="n">
        <x:f>F5*'Assumptions'!B9</x:f>
        <x:v>6.3168451359999995</x:v>
      </x:c>
      <x:c r="G20" s="177" t="n">
        <x:f>G5*'Assumptions'!B9</x:f>
        <x:v>11.12743422756</x:v>
      </x:c>
      <x:c r="H20" s="177" t="n">
        <x:f>H5*'Assumptions'!B9</x:f>
        <x:v>18.169283922496</x:v>
      </x:c>
      <x:c r="I20" s="177" t="n">
        <x:f>I5*'Assumptions'!B9</x:f>
        <x:v>28.5390215387648</x:v>
      </x:c>
      <x:c r="J20" s="177" t="n">
        <x:f>J5*'Assumptions'!B9</x:f>
        <x:v>43.14564514467649</x:v>
      </x:c>
      <x:c r="K20" s="177" t="n">
        <x:f>K5*'Assumptions'!B9</x:f>
        <x:v>61.91261914394433</x:v>
      </x:c>
      <x:c r="L20" s="177" t="n">
        <x:f>L5*'Assumptions'!B9</x:f>
        <x:v>85.63876353583589</x:v>
      </x:c>
      <x:c r="M20" s="177" t="n">
        <x:f>M5*'Assumptions'!B9</x:f>
        <x:v>115.0370533213415</x:v>
      </x:c>
      <x:c r="N20" s="177" t="n">
        <x:f>N5*'Assumptions'!B9</x:f>
        <x:v>139.94329690336608</x:v>
      </x:c>
      <x:c r="O20" s="177" t="n">
        <x:f>O5*'Assumptions'!B9</x:f>
        <x:v>166.19573242933257</x:v>
      </x:c>
      <x:c r="P20" s="177" t="n">
        <x:f>P5*'Assumptions'!B9</x:f>
        <x:v>196.12053146891438</x:v>
      </x:c>
      <x:c r="Q20" s="177" t="n">
        <x:f>Q5*'Assumptions'!B9</x:f>
        <x:v>221.38403593743354</x:v>
      </x:c>
      <x:c r="R20" s="177" t="n">
        <x:f>R5*'Assumptions'!B9</x:f>
        <x:v>239.92593075085105</x:v>
      </x:c>
      <x:c r="S20" s="177" t="n">
        <x:f>S5*'Assumptions'!B9</x:f>
        <x:v>254.4151742980453</x:v>
      </x:c>
      <x:c r="T20" s="177" t="n">
        <x:f>T5*'Assumptions'!B9</x:f>
        <x:v>269.2485485761224</x:v>
      </x:c>
      <x:c r="U20" s="177" t="n">
        <x:f>U5*'Assumptions'!B9</x:f>
        <x:v>283.87115152482596</x:v>
      </x:c>
    </x:row>
    <x:row r="21">
      <x:c r="A21" s="163" t="str">
        <x:v>Change in NWC</x:v>
      </x:c>
      <x:c r="B21" s="177" t="n">
        <x:f>B20</x:f>
        <x:v>0.24977999999999997</x:v>
      </x:c>
      <x:c r="C21" s="177" t="n">
        <x:f>C20-B20</x:f>
        <x:v>0.41154250000000003</x:v>
      </x:c>
      <x:c r="D21" s="177" t="n">
        <x:f>D20-C20</x:f>
        <x:v>0.8893369999999998</x:v>
      </x:c>
      <x:c r="E21" s="177" t="n">
        <x:f>E20-D20</x:f>
        <x:v>1.777192099999999</x:v>
      </x:c>
      <x:c r="F21" s="177" t="n">
        <x:f>F20-E20</x:f>
        <x:v>2.9889935360000006</x:v>
      </x:c>
      <x:c r="G21" s="177" t="n">
        <x:f>G20-F20</x:f>
        <x:v>4.810589091560001</x:v>
      </x:c>
      <x:c r="H21" s="177" t="n">
        <x:f>H20-G20</x:f>
        <x:v>7.041849694935999</x:v>
      </x:c>
      <x:c r="I21" s="177" t="n">
        <x:f>I20-H20</x:f>
        <x:v>10.3697376162688</x:v>
      </x:c>
      <x:c r="J21" s="177" t="n">
        <x:f>J20-I20</x:f>
        <x:v>14.606623605911693</x:v>
      </x:c>
      <x:c r="K21" s="177" t="n">
        <x:f>K20-J20</x:f>
        <x:v>18.76697399926784</x:v>
      </x:c>
      <x:c r="L21" s="177" t="n">
        <x:f>L20-K20</x:f>
        <x:v>23.72614439189156</x:v>
      </x:c>
      <x:c r="M21" s="177" t="n">
        <x:f>M20-L20</x:f>
        <x:v>29.39828978550561</x:v>
      </x:c>
      <x:c r="N21" s="177" t="n">
        <x:f>N20-M20</x:f>
        <x:v>24.906243582024572</x:v>
      </x:c>
      <x:c r="O21" s="177" t="n">
        <x:f>O20-N20</x:f>
        <x:v>26.25243552596649</x:v>
      </x:c>
      <x:c r="P21" s="177" t="n">
        <x:f>P20-O20</x:f>
        <x:v>29.924799039581814</x:v>
      </x:c>
      <x:c r="Q21" s="177" t="n">
        <x:f>Q20-P20</x:f>
        <x:v>25.26350446851916</x:v>
      </x:c>
      <x:c r="R21" s="177" t="n">
        <x:f>R20-Q20</x:f>
        <x:v>18.541894813417514</x:v>
      </x:c>
      <x:c r="S21" s="177" t="n">
        <x:f>S20-R20</x:f>
        <x:v>14.489243547194235</x:v>
      </x:c>
      <x:c r="T21" s="177" t="n">
        <x:f>T20-S20</x:f>
        <x:v>14.833374278077116</x:v>
      </x:c>
      <x:c r="U21" s="177" t="n">
        <x:f>U20-T20</x:f>
        <x:v>14.622602948703559</x:v>
      </x:c>
    </x:row>
    <x:row r="22">
      <x:c r="A22" s="181" t="str">
        <x:v>Cash flow from operations</x:v>
      </x:c>
      <x:c r="B22" s="182" t="n">
        <x:f>B18+B19-B21</x:f>
        <x:v>-13.651887500000004</x:v>
      </x:c>
      <x:c r="C22" s="182" t="n">
        <x:f>C18+C19-C21</x:f>
        <x:v>-14.211583625000006</x:v>
      </x:c>
      <x:c r="D22" s="182" t="n">
        <x:f>D18+D19-D21</x:f>
        <x:v>-15.392306398750003</x:v>
      </x:c>
      <x:c r="E22" s="182" t="n">
        <x:f>E18+E19-E21</x:f>
        <x:v>-15.414726524225008</x:v>
      </x:c>
      <x:c r="F22" s="182" t="n">
        <x:f>F18+F19-F21</x:f>
        <x:v>-10.322878227863987</x:v>
      </x:c>
      <x:c r="G22" s="182" t="n">
        <x:f>G18+G19-G21</x:f>
        <x:v>0.6239205162557466</x:v>
      </x:c>
      <x:c r="H22" s="182" t="n">
        <x:f>H18+H19-H21</x:f>
        <x:v>18.452658706988032</x:v>
      </x:c>
      <x:c r="I22" s="182" t="n">
        <x:f>I18+I19-I21</x:f>
        <x:v>49.410381418620965</x:v>
      </x:c>
      <x:c r="J22" s="182" t="n">
        <x:f>J18+J19-J21</x:f>
        <x:v>101.14750694723999</x:v>
      </x:c>
      <x:c r="K22" s="182" t="n">
        <x:f>K18+K19-K21</x:f>
        <x:v>170.57718864272402</x:v>
      </x:c>
      <x:c r="L22" s="182" t="n">
        <x:f>L18+L19-L21</x:f>
        <x:v>266.9513825410911</x:v>
      </x:c>
      <x:c r="M22" s="182" t="n">
        <x:f>M18+M19-M21</x:f>
        <x:v>395.78783391033267</x:v>
      </x:c>
      <x:c r="N22" s="182" t="n">
        <x:f>N18+N19-N21</x:f>
        <x:v>498.08880365711343</x:v>
      </x:c>
      <x:c r="O22" s="182" t="n">
        <x:f>O18+O19-O21</x:f>
        <x:v>596.6850078114803</x:v>
      </x:c>
      <x:c r="P22" s="182" t="n">
        <x:f>P18+P19-P21</x:f>
        <x:v>710.6927614219936</x:v>
      </x:c>
      <x:c r="Q22" s="182" t="n">
        <x:f>Q18+Q19-Q21</x:f>
        <x:v>801.3990215063694</x:v>
      </x:c>
      <x:c r="R22" s="182" t="n">
        <x:f>R18+R19-R21</x:f>
        <x:v>859.130492852468</x:v>
      </x:c>
      <x:c r="S22" s="182" t="n">
        <x:f>S18+S19-S21</x:f>
        <x:v>887.8198635765452</x:v>
      </x:c>
      <x:c r="T22" s="182" t="n">
        <x:f>T18+T19-T21</x:f>
        <x:v>917.858236920825</x:v>
      </x:c>
      <x:c r="U22" s="182" t="n">
        <x:f>U18+U19-U21</x:f>
        <x:v>950.1672092836945</x:v>
      </x:c>
    </x:row>
    <x:row r="23">
      <x:c r="A23" s="163" t="str">
        <x:v>Capital expenditures</x:v>
      </x:c>
      <x:c r="B23" s="177" t="n">
        <x:f>'Cost &amp; Headcount'!B49</x:f>
        <x:v>0.29524999999999996</x:v>
      </x:c>
      <x:c r="C23" s="177" t="n">
        <x:f>'Cost &amp; Headcount'!C49</x:f>
        <x:v>0.093375</x:v>
      </x:c>
      <x:c r="D23" s="177" t="n">
        <x:f>'Cost &amp; Headcount'!D49</x:f>
        <x:v>0.2198125</x:v>
      </x:c>
      <x:c r="E23" s="177" t="n">
        <x:f>'Cost &amp; Headcount'!E49</x:f>
        <x:v>0.4865625</x:v>
      </x:c>
      <x:c r="F23" s="177" t="n">
        <x:f>'Cost &amp; Headcount'!F49</x:f>
        <x:v>0.9504999999999999</x:v>
      </x:c>
      <x:c r="G23" s="177" t="n">
        <x:f>'Cost &amp; Headcount'!G49</x:f>
        <x:v>1.5539</x:v>
      </x:c>
      <x:c r="H23" s="177" t="n">
        <x:f>'Cost &amp; Headcount'!H49</x:f>
        <x:v>2.2441999999999993</x:v>
      </x:c>
      <x:c r="I23" s="177" t="n">
        <x:f>'Cost &amp; Headcount'!I49</x:f>
        <x:v>3.271247999999999</x:v>
      </x:c>
      <x:c r="J23" s="177" t="n">
        <x:f>'Cost &amp; Headcount'!J49</x:f>
        <x:v>4.446787600000001</x:v>
      </x:c>
      <x:c r="K23" s="177" t="n">
        <x:f>'Cost &amp; Headcount'!K49</x:f>
        <x:v>5.751508719999999</x:v>
      </x:c>
      <x:c r="L23" s="177" t="n">
        <x:f>'Cost &amp; Headcount'!L49</x:f>
        <x:v>6.967058629999997</x:v>
      </x:c>
      <x:c r="M23" s="177" t="n">
        <x:f>'Cost &amp; Headcount'!M49</x:f>
        <x:v>8.369072160000004</x:v>
      </x:c>
      <x:c r="N23" s="177" t="n">
        <x:f>'Cost &amp; Headcount'!N49</x:f>
        <x:v>8.911839781899996</x:v>
      </x:c>
      <x:c r="O23" s="177" t="n">
        <x:f>'Cost &amp; Headcount'!O49</x:f>
        <x:v>10.159622697223993</x:v>
      </x:c>
      <x:c r="P23" s="177" t="n">
        <x:f>'Cost &amp; Headcount'!P49</x:f>
        <x:v>11.401895553610954</x:v>
      </x:c>
      <x:c r="Q23" s="177" t="n">
        <x:f>'Cost &amp; Headcount'!Q49</x:f>
        <x:v>12.138283034843173</x:v>
      </x:c>
      <x:c r="R23" s="177" t="n">
        <x:f>'Cost &amp; Headcount'!R49</x:f>
        <x:v>12.39024606355289</x:v>
      </x:c>
      <x:c r="S23" s="177" t="n">
        <x:f>'Cost &amp; Headcount'!S49</x:f>
        <x:v>12.505585958580955</x:v>
      </x:c>
      <x:c r="T23" s="177" t="n">
        <x:f>'Cost &amp; Headcount'!T49</x:f>
        <x:v>10.684998064793822</x:v>
      </x:c>
      <x:c r="U23" s="177" t="n">
        <x:f>'Cost &amp; Headcount'!U49</x:f>
        <x:v>10.662084521949465</x:v>
      </x:c>
    </x:row>
    <x:row r="24">
      <x:c r="A24" s="181" t="str">
        <x:v>Free cash flow</x:v>
      </x:c>
      <x:c r="B24" s="182" t="n">
        <x:f>B22-B23</x:f>
        <x:v>-13.947137500000004</x:v>
      </x:c>
      <x:c r="C24" s="182" t="n">
        <x:f>C22-C23</x:f>
        <x:v>-14.304958625000006</x:v>
      </x:c>
      <x:c r="D24" s="182" t="n">
        <x:f>D22-D23</x:f>
        <x:v>-15.612118898750003</x:v>
      </x:c>
      <x:c r="E24" s="182" t="n">
        <x:f>E22-E23</x:f>
        <x:v>-15.901289024225008</x:v>
      </x:c>
      <x:c r="F24" s="182" t="n">
        <x:f>F22-F23</x:f>
        <x:v>-11.273378227863986</x:v>
      </x:c>
      <x:c r="G24" s="182" t="n">
        <x:f>G22-G23</x:f>
        <x:v>-0.9299794837442534</x:v>
      </x:c>
      <x:c r="H24" s="182" t="n">
        <x:f>H22-H23</x:f>
        <x:v>16.208458706988033</x:v>
      </x:c>
      <x:c r="I24" s="182" t="n">
        <x:f>I22-I23</x:f>
        <x:v>46.139133418620965</x:v>
      </x:c>
      <x:c r="J24" s="182" t="n">
        <x:f>J22-J23</x:f>
        <x:v>96.70071934723998</x:v>
      </x:c>
      <x:c r="K24" s="182" t="n">
        <x:f>K22-K23</x:f>
        <x:v>164.82567992272402</x:v>
      </x:c>
      <x:c r="L24" s="182" t="n">
        <x:f>L22-L23</x:f>
        <x:v>259.9843239110911</x:v>
      </x:c>
      <x:c r="M24" s="182" t="n">
        <x:f>M22-M23</x:f>
        <x:v>387.41876175033264</x:v>
      </x:c>
      <x:c r="N24" s="182" t="n">
        <x:f>N22-N23</x:f>
        <x:v>489.17696387521346</x:v>
      </x:c>
      <x:c r="O24" s="182" t="n">
        <x:f>O22-O23</x:f>
        <x:v>586.5253851142563</x:v>
      </x:c>
      <x:c r="P24" s="182" t="n">
        <x:f>P22-P23</x:f>
        <x:v>699.2908658683826</x:v>
      </x:c>
      <x:c r="Q24" s="182" t="n">
        <x:f>Q22-Q23</x:f>
        <x:v>789.2607384715262</x:v>
      </x:c>
      <x:c r="R24" s="182" t="n">
        <x:f>R22-R23</x:f>
        <x:v>846.7402467889151</x:v>
      </x:c>
      <x:c r="S24" s="182" t="n">
        <x:f>S22-S23</x:f>
        <x:v>875.3142776179643</x:v>
      </x:c>
      <x:c r="T24" s="182" t="n">
        <x:f>T22-T23</x:f>
        <x:v>907.1732388560312</x:v>
      </x:c>
      <x:c r="U24" s="182" t="n">
        <x:f>U22-U23</x:f>
        <x:v>939.505124761745</x:v>
      </x:c>
    </x:row>
    <x:row r="25">
      <x:c r="A25" s="163" t="str">
        <x:v>Minimum cash buffer</x:v>
      </x:c>
      <x:c r="B25" s="177" t="n">
        <x:f>MAX(10,0.03*B5)</x:f>
        <x:v>10</x:v>
      </x:c>
      <x:c r="C25" s="177" t="n">
        <x:f>MAX(10,0.03*C5)</x:f>
        <x:v>10</x:v>
      </x:c>
      <x:c r="D25" s="177" t="n">
        <x:f>MAX(10,0.03*D5)</x:f>
        <x:v>10</x:v>
      </x:c>
      <x:c r="E25" s="177" t="n">
        <x:f>MAX(10,0.03*E5)</x:f>
        <x:v>10</x:v>
      </x:c>
      <x:c r="F25" s="177" t="n">
        <x:f>MAX(10,0.03*F5)</x:f>
        <x:v>10</x:v>
      </x:c>
      <x:c r="G25" s="177" t="n">
        <x:f>MAX(10,0.03*G5)</x:f>
        <x:v>10</x:v>
      </x:c>
      <x:c r="H25" s="177" t="n">
        <x:f>MAX(10,0.03*H5)</x:f>
        <x:v>10</x:v>
      </x:c>
      <x:c r="I25" s="177" t="n">
        <x:f>MAX(10,0.03*I5)</x:f>
        <x:v>10.7021330770368</x:v>
      </x:c>
      <x:c r="J25" s="177" t="n">
        <x:f>MAX(10,0.03*J5)</x:f>
        <x:v>16.179616929253683</x:v>
      </x:c>
      <x:c r="K25" s="177" t="n">
        <x:f>MAX(10,0.03*K5)</x:f>
        <x:v>23.217232178979124</x:v>
      </x:c>
      <x:c r="L25" s="177" t="n">
        <x:f>MAX(10,0.03*L5)</x:f>
        <x:v>32.11453632593846</x:v>
      </x:c>
      <x:c r="M25" s="177" t="n">
        <x:f>MAX(10,0.03*M5)</x:f>
        <x:v>43.13889499550306</x:v>
      </x:c>
      <x:c r="N25" s="177" t="n">
        <x:f>MAX(10,0.03*N5)</x:f>
        <x:v>52.478736338762275</x:v>
      </x:c>
      <x:c r="O25" s="177" t="n">
        <x:f>MAX(10,0.03*O5)</x:f>
        <x:v>62.32339966099971</x:v>
      </x:c>
      <x:c r="P25" s="177" t="n">
        <x:f>MAX(10,0.03*P5)</x:f>
        <x:v>73.5451993008429</x:v>
      </x:c>
      <x:c r="Q25" s="177" t="n">
        <x:f>MAX(10,0.03*Q5)</x:f>
        <x:v>83.01901347653758</x:v>
      </x:c>
      <x:c r="R25" s="177" t="n">
        <x:f>MAX(10,0.03*R5)</x:f>
        <x:v>89.97222403156914</x:v>
      </x:c>
      <x:c r="S25" s="177" t="n">
        <x:f>MAX(10,0.03*S5)</x:f>
        <x:v>95.40569036176697</x:v>
      </x:c>
      <x:c r="T25" s="177" t="n">
        <x:f>MAX(10,0.03*T5)</x:f>
        <x:v>100.96820571604589</x:v>
      </x:c>
      <x:c r="U25" s="177" t="n">
        <x:f>MAX(10,0.03*U5)</x:f>
        <x:v>106.45168182180973</x:v>
      </x:c>
    </x:row>
    <x:row r="26">
      <x:c r="A26" s="163" t="str">
        <x:v>External financing required</x:v>
      </x:c>
      <x:c r="B26" s="177" t="n">
        <x:f>MAX(0,B25-B24)</x:f>
        <x:v>23.947137500000004</x:v>
      </x:c>
      <x:c r="C26" s="177" t="n">
        <x:f>MAX(0,C25-(B27+C24))</x:f>
        <x:v>14.304958625000006</x:v>
      </x:c>
      <x:c r="D26" s="177" t="n">
        <x:f>MAX(0,D25-(C27+D24))</x:f>
        <x:v>15.612118898750003</x:v>
      </x:c>
      <x:c r="E26" s="177" t="n">
        <x:f>MAX(0,E25-(D27+E24))</x:f>
        <x:v>15.901289024225008</x:v>
      </x:c>
      <x:c r="F26" s="177" t="n">
        <x:f>MAX(0,F25-(E27+F24))</x:f>
        <x:v>11.273378227863986</x:v>
      </x:c>
      <x:c r="G26" s="177" t="n">
        <x:f>MAX(0,G25-(F27+G24))</x:f>
        <x:v>0.929979483744253</x:v>
      </x:c>
      <x:c r="H26" s="177" t="n">
        <x:f>MAX(0,H25-(G27+H24))</x:f>
        <x:v>0</x:v>
      </x:c>
      <x:c r="I26" s="177" t="n">
        <x:f>MAX(0,I25-(H27+I24))</x:f>
        <x:v>0</x:v>
      </x:c>
      <x:c r="J26" s="177" t="n">
        <x:f>MAX(0,J25-(I27+J24))</x:f>
        <x:v>0</x:v>
      </x:c>
      <x:c r="K26" s="177" t="n">
        <x:f>MAX(0,K25-(J27+K24))</x:f>
        <x:v>0</x:v>
      </x:c>
      <x:c r="L26" s="177" t="n">
        <x:f>MAX(0,L25-(K27+L24))</x:f>
        <x:v>0</x:v>
      </x:c>
      <x:c r="M26" s="177" t="n">
        <x:f>MAX(0,M25-(L27+M24))</x:f>
        <x:v>0</x:v>
      </x:c>
      <x:c r="N26" s="177" t="n">
        <x:f>MAX(0,N25-(M27+N24))</x:f>
        <x:v>0</x:v>
      </x:c>
      <x:c r="O26" s="177" t="n">
        <x:f>MAX(0,O25-(N27+O24))</x:f>
        <x:v>0</x:v>
      </x:c>
      <x:c r="P26" s="177" t="n">
        <x:f>MAX(0,P25-(O27+P24))</x:f>
        <x:v>0</x:v>
      </x:c>
      <x:c r="Q26" s="177" t="n">
        <x:f>MAX(0,Q25-(P27+Q24))</x:f>
        <x:v>0</x:v>
      </x:c>
      <x:c r="R26" s="177" t="n">
        <x:f>MAX(0,R25-(Q27+R24))</x:f>
        <x:v>0</x:v>
      </x:c>
      <x:c r="S26" s="177" t="n">
        <x:f>MAX(0,S25-(R27+S24))</x:f>
        <x:v>0</x:v>
      </x:c>
      <x:c r="T26" s="177" t="n">
        <x:f>MAX(0,T25-(S27+T24))</x:f>
        <x:v>0</x:v>
      </x:c>
      <x:c r="U26" s="177" t="n">
        <x:f>MAX(0,U25-(T27+U24))</x:f>
        <x:v>0</x:v>
      </x:c>
    </x:row>
    <x:row r="27">
      <x:c r="A27" s="191" t="str">
        <x:v>Ending cash</x:v>
      </x:c>
      <x:c r="B27" s="192" t="n">
        <x:f>B24+B26</x:f>
        <x:v>10</x:v>
      </x:c>
      <x:c r="C27" s="192" t="n">
        <x:f>B27+C24+C26</x:f>
        <x:v>10</x:v>
      </x:c>
      <x:c r="D27" s="192" t="n">
        <x:f>C27+D24+D26</x:f>
        <x:v>10</x:v>
      </x:c>
      <x:c r="E27" s="192" t="n">
        <x:f>D27+E24+E26</x:f>
        <x:v>10</x:v>
      </x:c>
      <x:c r="F27" s="192" t="n">
        <x:f>E27+F24+F26</x:f>
        <x:v>10</x:v>
      </x:c>
      <x:c r="G27" s="192" t="n">
        <x:f>F27+G24+G26</x:f>
        <x:v>10</x:v>
      </x:c>
      <x:c r="H27" s="192" t="n">
        <x:f>G27+H24+H26</x:f>
        <x:v>26.208458706988033</x:v>
      </x:c>
      <x:c r="I27" s="192" t="n">
        <x:f>H27+I24+I26</x:f>
        <x:v>72.347592125609</x:v>
      </x:c>
      <x:c r="J27" s="192" t="n">
        <x:f>I27+J24+J26</x:f>
        <x:v>169.04831147284898</x:v>
      </x:c>
      <x:c r="K27" s="192" t="n">
        <x:f>J27+K24+K26</x:f>
        <x:v>333.873991395573</x:v>
      </x:c>
      <x:c r="L27" s="192" t="n">
        <x:f>K27+L24+L26</x:f>
        <x:v>593.858315306664</x:v>
      </x:c>
      <x:c r="M27" s="192" t="n">
        <x:f>L27+M24+M26</x:f>
        <x:v>981.2770770569966</x:v>
      </x:c>
      <x:c r="N27" s="192" t="n">
        <x:f>M27+N24+N26</x:f>
        <x:v>1470.45404093221</x:v>
      </x:c>
      <x:c r="O27" s="192" t="n">
        <x:f>N27+O24+O26</x:f>
        <x:v>2056.9794260464664</x:v>
      </x:c>
      <x:c r="P27" s="192" t="n">
        <x:f>O27+P24+P26</x:f>
        <x:v>2756.270291914849</x:v>
      </x:c>
      <x:c r="Q27" s="192" t="n">
        <x:f>P27+Q24+Q26</x:f>
        <x:v>3545.5310303863753</x:v>
      </x:c>
      <x:c r="R27" s="192" t="n">
        <x:f>Q27+R24+R26</x:f>
        <x:v>4392.27127717529</x:v>
      </x:c>
      <x:c r="S27" s="192" t="n">
        <x:f>R27+S24+S26</x:f>
        <x:v>5267.585554793255</x:v>
      </x:c>
      <x:c r="T27" s="192" t="n">
        <x:f>S27+T24+T26</x:f>
        <x:v>6174.758793649286</x:v>
      </x:c>
      <x:c r="U27" s="192" t="n">
        <x:f>T27+U24+U26</x:f>
        <x:v>7114.263918411031</x:v>
      </x:c>
    </x:row>
    <x:row r="28">
      <x:c r="A28" s="191" t="str">
        <x:v>Cumulative external financing</x:v>
      </x:c>
      <x:c r="B28" s="192" t="n">
        <x:f>B26</x:f>
        <x:v>23.947137500000004</x:v>
      </x:c>
      <x:c r="C28" s="192" t="n">
        <x:f>B28+C26</x:f>
        <x:v>38.25209612500001</x:v>
      </x:c>
      <x:c r="D28" s="192" t="n">
        <x:f>C28+D26</x:f>
        <x:v>53.86421502375001</x:v>
      </x:c>
      <x:c r="E28" s="192" t="n">
        <x:f>D28+E26</x:f>
        <x:v>69.76550404797501</x:v>
      </x:c>
      <x:c r="F28" s="192" t="n">
        <x:f>E28+F26</x:f>
        <x:v>81.038882275839</x:v>
      </x:c>
      <x:c r="G28" s="192" t="n">
        <x:f>F28+G26</x:f>
        <x:v>81.96886175958325</x:v>
      </x:c>
      <x:c r="H28" s="192" t="n">
        <x:f>G28+H26</x:f>
        <x:v>81.96886175958325</x:v>
      </x:c>
      <x:c r="I28" s="192" t="n">
        <x:f>H28+I26</x:f>
        <x:v>81.96886175958325</x:v>
      </x:c>
      <x:c r="J28" s="192" t="n">
        <x:f>I28+J26</x:f>
        <x:v>81.96886175958325</x:v>
      </x:c>
      <x:c r="K28" s="192" t="n">
        <x:f>J28+K26</x:f>
        <x:v>81.96886175958325</x:v>
      </x:c>
      <x:c r="L28" s="192" t="n">
        <x:f>K28+L26</x:f>
        <x:v>81.96886175958325</x:v>
      </x:c>
      <x:c r="M28" s="192" t="n">
        <x:f>L28+M26</x:f>
        <x:v>81.96886175958325</x:v>
      </x:c>
      <x:c r="N28" s="192" t="n">
        <x:f>M28+N26</x:f>
        <x:v>81.96886175958325</x:v>
      </x:c>
      <x:c r="O28" s="192" t="n">
        <x:f>N28+O26</x:f>
        <x:v>81.96886175958325</x:v>
      </x:c>
      <x:c r="P28" s="192" t="n">
        <x:f>O28+P26</x:f>
        <x:v>81.96886175958325</x:v>
      </x:c>
      <x:c r="Q28" s="192" t="n">
        <x:f>P28+Q26</x:f>
        <x:v>81.96886175958325</x:v>
      </x:c>
      <x:c r="R28" s="192" t="n">
        <x:f>Q28+R26</x:f>
        <x:v>81.96886175958325</x:v>
      </x:c>
      <x:c r="S28" s="192" t="n">
        <x:f>R28+S26</x:f>
        <x:v>81.96886175958325</x:v>
      </x:c>
      <x:c r="T28" s="192" t="n">
        <x:f>S28+T26</x:f>
        <x:v>81.96886175958325</x:v>
      </x:c>
      <x:c r="U28" s="192" t="n">
        <x:f>T28+U26</x:f>
        <x:v>81.96886175958325</x:v>
      </x:c>
    </x:row>
    <x:row r="29">
      <x:c r="A29" s="163"/>
      <x:c r="B29" s="163"/>
      <x:c r="C29" s="163"/>
      <x:c r="D29" s="163"/>
      <x:c r="E29" s="163"/>
      <x:c r="F29" s="163"/>
      <x:c r="G29" s="163"/>
      <x:c r="H29" s="163"/>
      <x:c r="I29" s="163"/>
      <x:c r="J29" s="163"/>
      <x:c r="K29" s="163"/>
      <x:c r="L29" s="163"/>
      <x:c r="M29" s="163"/>
      <x:c r="N29" s="163"/>
      <x:c r="O29" s="163"/>
      <x:c r="P29" s="163"/>
      <x:c r="Q29" s="163"/>
      <x:c r="R29" s="163"/>
      <x:c r="S29" s="163"/>
      <x:c r="T29" s="163"/>
      <x:c r="U29" s="163"/>
    </x:row>
    <x:row r="30">
      <x:c r="A30" s="163"/>
      <x:c r="B30" s="163"/>
      <x:c r="C30" s="163"/>
      <x:c r="D30" s="163"/>
      <x:c r="E30" s="163"/>
      <x:c r="F30" s="163"/>
      <x:c r="G30" s="163"/>
      <x:c r="H30" s="163"/>
      <x:c r="I30" s="163"/>
      <x:c r="J30" s="163"/>
      <x:c r="K30" s="163"/>
      <x:c r="L30" s="163"/>
      <x:c r="M30" s="163"/>
      <x:c r="N30" s="163"/>
      <x:c r="O30" s="163"/>
      <x:c r="P30" s="163"/>
      <x:c r="Q30" s="163"/>
      <x:c r="R30" s="163"/>
      <x:c r="S30" s="163"/>
      <x:c r="T30" s="163"/>
      <x:c r="U30" s="163"/>
    </x:row>
    <x:row r="31">
      <x:c r="A31" s="163"/>
      <x:c r="B31" s="163"/>
      <x:c r="C31" s="163"/>
      <x:c r="D31" s="163"/>
      <x:c r="E31" s="163"/>
      <x:c r="F31" s="163"/>
      <x:c r="G31" s="163"/>
      <x:c r="H31" s="163"/>
      <x:c r="I31" s="163"/>
      <x:c r="J31" s="163"/>
      <x:c r="K31" s="163"/>
      <x:c r="L31" s="163"/>
      <x:c r="M31" s="163"/>
      <x:c r="N31" s="163"/>
      <x:c r="O31" s="163"/>
      <x:c r="P31" s="163"/>
      <x:c r="Q31" s="163"/>
      <x:c r="R31" s="163"/>
      <x:c r="S31" s="163"/>
      <x:c r="T31" s="163"/>
      <x:c r="U31" s="163"/>
    </x:row>
    <x:row r="32">
      <x:c r="A32" s="163"/>
      <x:c r="B32" s="163"/>
      <x:c r="C32" s="163"/>
      <x:c r="D32" s="163"/>
      <x:c r="E32" s="163"/>
      <x:c r="F32" s="163"/>
      <x:c r="G32" s="163"/>
      <x:c r="H32" s="163"/>
      <x:c r="I32" s="163"/>
      <x:c r="J32" s="163"/>
      <x:c r="K32" s="163"/>
      <x:c r="L32" s="163"/>
      <x:c r="M32" s="163"/>
      <x:c r="N32" s="163"/>
      <x:c r="O32" s="163"/>
      <x:c r="P32" s="163"/>
      <x:c r="Q32" s="163"/>
      <x:c r="R32" s="163"/>
      <x:c r="S32" s="163"/>
      <x:c r="T32" s="163"/>
      <x:c r="U32" s="163"/>
    </x:row>
    <x:row r="33">
      <x:c r="A33" s="163"/>
      <x:c r="B33" s="163"/>
      <x:c r="C33" s="163"/>
      <x:c r="D33" s="163"/>
      <x:c r="E33" s="163"/>
      <x:c r="F33" s="163"/>
      <x:c r="G33" s="163"/>
      <x:c r="H33" s="163"/>
      <x:c r="I33" s="163"/>
      <x:c r="J33" s="163"/>
      <x:c r="K33" s="163"/>
      <x:c r="L33" s="163"/>
      <x:c r="M33" s="163"/>
      <x:c r="N33" s="163"/>
      <x:c r="O33" s="163"/>
      <x:c r="P33" s="163"/>
      <x:c r="Q33" s="163"/>
      <x:c r="R33" s="163"/>
      <x:c r="S33" s="163"/>
      <x:c r="T33" s="163"/>
      <x:c r="U33" s="163"/>
    </x:row>
    <x:row r="34">
      <x:c r="A34" s="163"/>
      <x:c r="B34" s="163"/>
      <x:c r="C34" s="163"/>
      <x:c r="D34" s="163"/>
      <x:c r="E34" s="163"/>
      <x:c r="F34" s="163"/>
      <x:c r="G34" s="163"/>
      <x:c r="H34" s="163"/>
      <x:c r="I34" s="163"/>
      <x:c r="J34" s="163"/>
      <x:c r="K34" s="163"/>
      <x:c r="L34" s="163"/>
      <x:c r="M34" s="163"/>
      <x:c r="N34" s="163"/>
      <x:c r="O34" s="163"/>
      <x:c r="P34" s="163"/>
      <x:c r="Q34" s="163"/>
      <x:c r="R34" s="163"/>
      <x:c r="S34" s="163"/>
      <x:c r="T34" s="163"/>
      <x:c r="U34" s="163"/>
    </x:row>
    <x:row r="35">
      <x:c r="A35" s="163"/>
      <x:c r="B35" s="163"/>
      <x:c r="C35" s="163"/>
      <x:c r="D35" s="163"/>
      <x:c r="E35" s="163"/>
      <x:c r="F35" s="163"/>
      <x:c r="G35" s="163"/>
      <x:c r="H35" s="163"/>
      <x:c r="I35" s="163"/>
      <x:c r="J35" s="163"/>
      <x:c r="K35" s="163"/>
      <x:c r="L35" s="163"/>
      <x:c r="M35" s="163"/>
      <x:c r="N35" s="163"/>
      <x:c r="O35" s="163"/>
      <x:c r="P35" s="163"/>
      <x:c r="Q35" s="163"/>
      <x:c r="R35" s="163"/>
      <x:c r="S35" s="163"/>
      <x:c r="T35" s="163"/>
      <x:c r="U35" s="163"/>
    </x:row>
    <x:row r="36">
      <x:c r="A36" s="163"/>
      <x:c r="B36" s="163"/>
      <x:c r="C36" s="163"/>
      <x:c r="D36" s="163"/>
      <x:c r="E36" s="163"/>
      <x:c r="F36" s="163"/>
      <x:c r="G36" s="163"/>
      <x:c r="H36" s="163"/>
      <x:c r="I36" s="163"/>
      <x:c r="J36" s="163"/>
      <x:c r="K36" s="163"/>
      <x:c r="L36" s="163"/>
      <x:c r="M36" s="163"/>
      <x:c r="N36" s="163"/>
      <x:c r="O36" s="163"/>
      <x:c r="P36" s="163"/>
      <x:c r="Q36" s="163"/>
      <x:c r="R36" s="163"/>
      <x:c r="S36" s="163"/>
      <x:c r="T36" s="163"/>
      <x:c r="U36" s="163"/>
    </x:row>
    <x:row r="37">
      <x:c r="A37" s="163"/>
      <x:c r="B37" s="163"/>
      <x:c r="C37" s="163"/>
      <x:c r="D37" s="163"/>
      <x:c r="E37" s="163"/>
      <x:c r="F37" s="163"/>
      <x:c r="G37" s="163"/>
      <x:c r="H37" s="163"/>
      <x:c r="I37" s="163"/>
      <x:c r="J37" s="163"/>
      <x:c r="K37" s="163"/>
      <x:c r="L37" s="163"/>
      <x:c r="M37" s="163"/>
      <x:c r="N37" s="163"/>
      <x:c r="O37" s="163"/>
      <x:c r="P37" s="163"/>
      <x:c r="Q37" s="163"/>
      <x:c r="R37" s="163"/>
      <x:c r="S37" s="163"/>
      <x:c r="T37" s="163"/>
      <x:c r="U37" s="163"/>
    </x:row>
    <x:row r="38">
      <x:c r="A38" s="163"/>
      <x:c r="B38" s="163"/>
      <x:c r="C38" s="163"/>
      <x:c r="D38" s="163"/>
      <x:c r="E38" s="163"/>
      <x:c r="F38" s="163"/>
      <x:c r="G38" s="163"/>
      <x:c r="H38" s="163"/>
      <x:c r="I38" s="163"/>
      <x:c r="J38" s="163"/>
      <x:c r="K38" s="163"/>
      <x:c r="L38" s="163"/>
      <x:c r="M38" s="163"/>
      <x:c r="N38" s="163"/>
      <x:c r="O38" s="163"/>
      <x:c r="P38" s="163"/>
      <x:c r="Q38" s="163"/>
      <x:c r="R38" s="163"/>
      <x:c r="S38" s="163"/>
      <x:c r="T38" s="163"/>
      <x:c r="U38" s="163"/>
    </x:row>
    <x:row r="39">
      <x:c r="A39" s="163"/>
      <x:c r="B39" s="163"/>
      <x:c r="C39" s="163"/>
      <x:c r="D39" s="163"/>
      <x:c r="E39" s="163"/>
      <x:c r="F39" s="163"/>
      <x:c r="G39" s="163"/>
      <x:c r="H39" s="163"/>
      <x:c r="I39" s="163"/>
      <x:c r="J39" s="163"/>
      <x:c r="K39" s="163"/>
      <x:c r="L39" s="163"/>
      <x:c r="M39" s="163"/>
      <x:c r="N39" s="163"/>
      <x:c r="O39" s="163"/>
      <x:c r="P39" s="163"/>
      <x:c r="Q39" s="163"/>
      <x:c r="R39" s="163"/>
      <x:c r="S39" s="163"/>
      <x:c r="T39" s="163"/>
      <x:c r="U39" s="163"/>
    </x:row>
    <x:row r="40">
      <x:c r="A40" s="163"/>
      <x:c r="B40" s="163"/>
      <x:c r="C40" s="163"/>
      <x:c r="D40" s="163"/>
      <x:c r="E40" s="163"/>
      <x:c r="F40" s="163"/>
      <x:c r="G40" s="163"/>
      <x:c r="H40" s="163"/>
      <x:c r="I40" s="163"/>
      <x:c r="J40" s="163"/>
      <x:c r="K40" s="163"/>
      <x:c r="L40" s="163"/>
      <x:c r="M40" s="163"/>
      <x:c r="N40" s="163"/>
      <x:c r="O40" s="163"/>
      <x:c r="P40" s="163"/>
      <x:c r="Q40" s="163"/>
      <x:c r="R40" s="163"/>
      <x:c r="S40" s="163"/>
      <x:c r="T40" s="163"/>
      <x:c r="U40" s="163"/>
    </x:row>
    <x:row r="41">
      <x:c r="A41" s="163"/>
      <x:c r="B41" s="163"/>
      <x:c r="C41" s="163"/>
      <x:c r="D41" s="163"/>
      <x:c r="E41" s="163"/>
      <x:c r="F41" s="163"/>
      <x:c r="G41" s="163"/>
      <x:c r="H41" s="163"/>
      <x:c r="I41" s="163"/>
      <x:c r="J41" s="163"/>
      <x:c r="K41" s="163"/>
      <x:c r="L41" s="163"/>
      <x:c r="M41" s="163"/>
      <x:c r="N41" s="163"/>
      <x:c r="O41" s="163"/>
      <x:c r="P41" s="163"/>
      <x:c r="Q41" s="163"/>
      <x:c r="R41" s="163"/>
      <x:c r="S41" s="163"/>
      <x:c r="T41" s="163"/>
      <x:c r="U41" s="163"/>
    </x:row>
    <x:row r="42">
      <x:c r="A42" s="163"/>
      <x:c r="B42" s="163"/>
      <x:c r="C42" s="163"/>
      <x:c r="D42" s="163"/>
      <x:c r="E42" s="163"/>
      <x:c r="F42" s="163"/>
      <x:c r="G42" s="163"/>
      <x:c r="H42" s="163"/>
      <x:c r="I42" s="163"/>
      <x:c r="J42" s="163"/>
      <x:c r="K42" s="163"/>
      <x:c r="L42" s="163"/>
      <x:c r="M42" s="163"/>
      <x:c r="N42" s="163"/>
      <x:c r="O42" s="163"/>
      <x:c r="P42" s="163"/>
      <x:c r="Q42" s="163"/>
      <x:c r="R42" s="163"/>
      <x:c r="S42" s="163"/>
      <x:c r="T42" s="163"/>
      <x:c r="U42" s="163"/>
    </x:row>
    <x:row r="43">
      <x:c r="A43" s="163"/>
      <x:c r="B43" s="163"/>
      <x:c r="C43" s="163"/>
      <x:c r="D43" s="163"/>
      <x:c r="E43" s="163"/>
      <x:c r="F43" s="163"/>
      <x:c r="G43" s="163"/>
      <x:c r="H43" s="163"/>
      <x:c r="I43" s="163"/>
      <x:c r="J43" s="163"/>
      <x:c r="K43" s="163"/>
      <x:c r="L43" s="163"/>
      <x:c r="M43" s="163"/>
      <x:c r="N43" s="163"/>
      <x:c r="O43" s="163"/>
      <x:c r="P43" s="163"/>
      <x:c r="Q43" s="163"/>
      <x:c r="R43" s="163"/>
      <x:c r="S43" s="163"/>
      <x:c r="T43" s="163"/>
      <x:c r="U43" s="163"/>
    </x:row>
    <x:row r="44">
      <x:c r="A44" s="163"/>
      <x:c r="B44" s="163"/>
      <x:c r="C44" s="163"/>
      <x:c r="D44" s="163"/>
      <x:c r="E44" s="163"/>
      <x:c r="F44" s="163"/>
      <x:c r="G44" s="163"/>
      <x:c r="H44" s="163"/>
      <x:c r="I44" s="163"/>
      <x:c r="J44" s="163"/>
      <x:c r="K44" s="163"/>
      <x:c r="L44" s="163"/>
      <x:c r="M44" s="163"/>
      <x:c r="N44" s="163"/>
      <x:c r="O44" s="163"/>
      <x:c r="P44" s="163"/>
      <x:c r="Q44" s="163"/>
      <x:c r="R44" s="163"/>
      <x:c r="S44" s="163"/>
      <x:c r="T44" s="163"/>
      <x:c r="U44" s="163"/>
    </x:row>
    <x:row r="45">
      <x:c r="A45" s="163"/>
      <x:c r="B45" s="163"/>
      <x:c r="C45" s="163"/>
      <x:c r="D45" s="163"/>
      <x:c r="E45" s="163"/>
      <x:c r="F45" s="163"/>
      <x:c r="G45" s="163"/>
      <x:c r="H45" s="163"/>
      <x:c r="I45" s="163"/>
      <x:c r="J45" s="163"/>
      <x:c r="K45" s="163"/>
      <x:c r="L45" s="163"/>
      <x:c r="M45" s="163"/>
      <x:c r="N45" s="163"/>
      <x:c r="O45" s="163"/>
      <x:c r="P45" s="163"/>
      <x:c r="Q45" s="163"/>
      <x:c r="R45" s="163"/>
      <x:c r="S45" s="163"/>
      <x:c r="T45" s="163"/>
      <x:c r="U45" s="163"/>
    </x:row>
    <x:row r="46">
      <x:c r="A46" s="163"/>
      <x:c r="B46" s="163"/>
      <x:c r="C46" s="163"/>
      <x:c r="D46" s="163"/>
      <x:c r="E46" s="163"/>
      <x:c r="F46" s="163"/>
      <x:c r="G46" s="163"/>
      <x:c r="H46" s="163"/>
      <x:c r="I46" s="163"/>
      <x:c r="J46" s="163"/>
      <x:c r="K46" s="163"/>
      <x:c r="L46" s="163"/>
      <x:c r="M46" s="163"/>
      <x:c r="N46" s="163"/>
      <x:c r="O46" s="163"/>
      <x:c r="P46" s="163"/>
      <x:c r="Q46" s="163"/>
      <x:c r="R46" s="163"/>
      <x:c r="S46" s="163"/>
      <x:c r="T46" s="163"/>
      <x:c r="U46" s="163"/>
    </x:row>
    <x:row r="47">
      <x:c r="A47" s="163"/>
      <x:c r="B47" s="163"/>
      <x:c r="C47" s="163"/>
      <x:c r="D47" s="163"/>
      <x:c r="E47" s="163"/>
      <x:c r="F47" s="163"/>
      <x:c r="G47" s="163"/>
      <x:c r="H47" s="163"/>
      <x:c r="I47" s="163"/>
      <x:c r="J47" s="163"/>
      <x:c r="K47" s="163"/>
      <x:c r="L47" s="163"/>
      <x:c r="M47" s="163"/>
      <x:c r="N47" s="163"/>
      <x:c r="O47" s="163"/>
      <x:c r="P47" s="163"/>
      <x:c r="Q47" s="163"/>
      <x:c r="R47" s="163"/>
      <x:c r="S47" s="163"/>
      <x:c r="T47" s="163"/>
      <x:c r="U47" s="163"/>
    </x:row>
    <x:row r="48">
      <x:c r="A48" s="163"/>
      <x:c r="B48" s="163"/>
      <x:c r="C48" s="163"/>
      <x:c r="D48" s="163"/>
      <x:c r="E48" s="163"/>
      <x:c r="F48" s="163"/>
      <x:c r="G48" s="163"/>
      <x:c r="H48" s="163"/>
      <x:c r="I48" s="163"/>
      <x:c r="J48" s="163"/>
      <x:c r="K48" s="163"/>
      <x:c r="L48" s="163"/>
      <x:c r="M48" s="163"/>
      <x:c r="N48" s="163"/>
      <x:c r="O48" s="163"/>
      <x:c r="P48" s="163"/>
      <x:c r="Q48" s="163"/>
      <x:c r="R48" s="163"/>
      <x:c r="S48" s="163"/>
      <x:c r="T48" s="163"/>
      <x:c r="U48" s="163"/>
    </x:row>
    <x:row r="49">
      <x:c r="A49" s="163"/>
      <x:c r="B49" s="163"/>
      <x:c r="C49" s="163"/>
      <x:c r="D49" s="163"/>
      <x:c r="E49" s="163"/>
      <x:c r="F49" s="163"/>
      <x:c r="G49" s="163"/>
      <x:c r="H49" s="163"/>
      <x:c r="I49" s="163"/>
      <x:c r="J49" s="163"/>
      <x:c r="K49" s="163"/>
      <x:c r="L49" s="163"/>
      <x:c r="M49" s="163"/>
      <x:c r="N49" s="163"/>
      <x:c r="O49" s="163"/>
      <x:c r="P49" s="163"/>
      <x:c r="Q49" s="163"/>
      <x:c r="R49" s="163"/>
      <x:c r="S49" s="163"/>
      <x:c r="T49" s="163"/>
      <x:c r="U49" s="163"/>
    </x:row>
    <x:row r="50">
      <x:c r="A50" s="163"/>
      <x:c r="B50" s="163"/>
      <x:c r="C50" s="163"/>
      <x:c r="D50" s="163"/>
      <x:c r="E50" s="163"/>
      <x:c r="F50" s="163"/>
      <x:c r="G50" s="163"/>
      <x:c r="H50" s="163"/>
      <x:c r="I50" s="163"/>
      <x:c r="J50" s="163"/>
      <x:c r="K50" s="163"/>
      <x:c r="L50" s="163"/>
      <x:c r="M50" s="163"/>
      <x:c r="N50" s="163"/>
      <x:c r="O50" s="163"/>
      <x:c r="P50" s="163"/>
      <x:c r="Q50" s="163"/>
      <x:c r="R50" s="163"/>
      <x:c r="S50" s="163"/>
      <x:c r="T50" s="163"/>
      <x:c r="U50" s="163"/>
    </x:row>
    <x:row r="51">
      <x:c r="A51" s="163"/>
      <x:c r="B51" s="163"/>
      <x:c r="C51" s="163"/>
      <x:c r="D51" s="163"/>
      <x:c r="E51" s="163"/>
      <x:c r="F51" s="163"/>
      <x:c r="G51" s="163"/>
      <x:c r="H51" s="163"/>
      <x:c r="I51" s="163"/>
      <x:c r="J51" s="163"/>
      <x:c r="K51" s="163"/>
      <x:c r="L51" s="163"/>
      <x:c r="M51" s="163"/>
      <x:c r="N51" s="163"/>
      <x:c r="O51" s="163"/>
      <x:c r="P51" s="163"/>
      <x:c r="Q51" s="163"/>
      <x:c r="R51" s="163"/>
      <x:c r="S51" s="163"/>
      <x:c r="T51" s="163"/>
      <x:c r="U51" s="163"/>
    </x:row>
    <x:row r="52">
      <x:c r="A52" s="163"/>
      <x:c r="B52" s="163"/>
      <x:c r="C52" s="163"/>
      <x:c r="D52" s="163"/>
      <x:c r="E52" s="163"/>
      <x:c r="F52" s="163"/>
      <x:c r="G52" s="163"/>
      <x:c r="H52" s="163"/>
      <x:c r="I52" s="163"/>
      <x:c r="J52" s="163"/>
      <x:c r="K52" s="163"/>
      <x:c r="L52" s="163"/>
      <x:c r="M52" s="163"/>
      <x:c r="N52" s="163"/>
      <x:c r="O52" s="163"/>
      <x:c r="P52" s="163"/>
      <x:c r="Q52" s="163"/>
      <x:c r="R52" s="163"/>
      <x:c r="S52" s="163"/>
      <x:c r="T52" s="163"/>
      <x:c r="U52" s="163"/>
    </x:row>
    <x:row r="53">
      <x:c r="A53" s="163"/>
      <x:c r="B53" s="163"/>
      <x:c r="C53" s="163"/>
      <x:c r="D53" s="163"/>
      <x:c r="E53" s="163"/>
      <x:c r="F53" s="163"/>
      <x:c r="G53" s="163"/>
      <x:c r="H53" s="163"/>
      <x:c r="I53" s="163"/>
      <x:c r="J53" s="163"/>
      <x:c r="K53" s="163"/>
      <x:c r="L53" s="163"/>
      <x:c r="M53" s="163"/>
      <x:c r="N53" s="163"/>
      <x:c r="O53" s="163"/>
      <x:c r="P53" s="163"/>
      <x:c r="Q53" s="163"/>
      <x:c r="R53" s="163"/>
      <x:c r="S53" s="163"/>
      <x:c r="T53" s="163"/>
      <x:c r="U53" s="163"/>
    </x:row>
    <x:row r="54">
      <x:c r="A54" s="163"/>
      <x:c r="B54" s="163"/>
      <x:c r="C54" s="163"/>
      <x:c r="D54" s="163"/>
      <x:c r="E54" s="163"/>
      <x:c r="F54" s="163"/>
      <x:c r="G54" s="163"/>
      <x:c r="H54" s="163"/>
      <x:c r="I54" s="163"/>
      <x:c r="J54" s="163"/>
      <x:c r="K54" s="163"/>
      <x:c r="L54" s="163"/>
      <x:c r="M54" s="163"/>
      <x:c r="N54" s="163"/>
      <x:c r="O54" s="163"/>
      <x:c r="P54" s="163"/>
      <x:c r="Q54" s="163"/>
      <x:c r="R54" s="163"/>
      <x:c r="S54" s="163"/>
      <x:c r="T54" s="163"/>
      <x:c r="U54" s="163"/>
    </x:row>
    <x:row r="55">
      <x:c r="A55" s="163"/>
      <x:c r="B55" s="163"/>
      <x:c r="C55" s="163"/>
      <x:c r="D55" s="163"/>
      <x:c r="E55" s="163"/>
      <x:c r="F55" s="163"/>
      <x:c r="G55" s="163"/>
      <x:c r="H55" s="163"/>
      <x:c r="I55" s="163"/>
      <x:c r="J55" s="163"/>
      <x:c r="K55" s="163"/>
      <x:c r="L55" s="163"/>
      <x:c r="M55" s="163"/>
      <x:c r="N55" s="163"/>
      <x:c r="O55" s="163"/>
      <x:c r="P55" s="163"/>
      <x:c r="Q55" s="163"/>
      <x:c r="R55" s="163"/>
      <x:c r="S55" s="163"/>
      <x:c r="T55" s="163"/>
      <x:c r="U55" s="163"/>
    </x:row>
    <x:row r="56">
      <x:c r="A56" s="163"/>
      <x:c r="B56" s="163"/>
      <x:c r="C56" s="163"/>
      <x:c r="D56" s="163"/>
      <x:c r="E56" s="163"/>
      <x:c r="F56" s="163"/>
      <x:c r="G56" s="163"/>
      <x:c r="H56" s="163"/>
      <x:c r="I56" s="163"/>
      <x:c r="J56" s="163"/>
      <x:c r="K56" s="163"/>
      <x:c r="L56" s="163"/>
      <x:c r="M56" s="163"/>
      <x:c r="N56" s="163"/>
      <x:c r="O56" s="163"/>
      <x:c r="P56" s="163"/>
      <x:c r="Q56" s="163"/>
      <x:c r="R56" s="163"/>
      <x:c r="S56" s="163"/>
      <x:c r="T56" s="163"/>
      <x:c r="U56" s="163"/>
    </x:row>
    <x:row r="57">
      <x:c r="A57" s="163"/>
      <x:c r="B57" s="163"/>
      <x:c r="C57" s="163"/>
      <x:c r="D57" s="163"/>
      <x:c r="E57" s="163"/>
      <x:c r="F57" s="163"/>
      <x:c r="G57" s="163"/>
      <x:c r="H57" s="163"/>
      <x:c r="I57" s="163"/>
      <x:c r="J57" s="163"/>
      <x:c r="K57" s="163"/>
      <x:c r="L57" s="163"/>
      <x:c r="M57" s="163"/>
      <x:c r="N57" s="163"/>
      <x:c r="O57" s="163"/>
      <x:c r="P57" s="163"/>
      <x:c r="Q57" s="163"/>
      <x:c r="R57" s="163"/>
      <x:c r="S57" s="163"/>
      <x:c r="T57" s="163"/>
      <x:c r="U57" s="163"/>
    </x:row>
    <x:row r="58">
      <x:c r="A58" s="163"/>
      <x:c r="B58" s="163"/>
      <x:c r="C58" s="163"/>
      <x:c r="D58" s="163"/>
      <x:c r="E58" s="163"/>
      <x:c r="F58" s="163"/>
      <x:c r="G58" s="163"/>
      <x:c r="H58" s="163"/>
      <x:c r="I58" s="163"/>
      <x:c r="J58" s="163"/>
      <x:c r="K58" s="163"/>
      <x:c r="L58" s="163"/>
      <x:c r="M58" s="163"/>
      <x:c r="N58" s="163"/>
      <x:c r="O58" s="163"/>
      <x:c r="P58" s="163"/>
      <x:c r="Q58" s="163"/>
      <x:c r="R58" s="163"/>
      <x:c r="S58" s="163"/>
      <x:c r="T58" s="163"/>
      <x:c r="U58" s="163"/>
    </x:row>
    <x:row r="59">
      <x:c r="A59" s="163"/>
      <x:c r="B59" s="163"/>
      <x:c r="C59" s="163"/>
      <x:c r="D59" s="163"/>
      <x:c r="E59" s="163"/>
      <x:c r="F59" s="163"/>
      <x:c r="G59" s="163"/>
      <x:c r="H59" s="163"/>
      <x:c r="I59" s="163"/>
      <x:c r="J59" s="163"/>
      <x:c r="K59" s="163"/>
      <x:c r="L59" s="163"/>
      <x:c r="M59" s="163"/>
      <x:c r="N59" s="163"/>
      <x:c r="O59" s="163"/>
      <x:c r="P59" s="163"/>
      <x:c r="Q59" s="163"/>
      <x:c r="R59" s="163"/>
      <x:c r="S59" s="163"/>
      <x:c r="T59" s="163"/>
      <x:c r="U59" s="163"/>
    </x:row>
    <x:row r="60">
      <x:c r="A60" s="163"/>
      <x:c r="B60" s="163"/>
      <x:c r="C60" s="163"/>
      <x:c r="D60" s="163"/>
      <x:c r="E60" s="163"/>
      <x:c r="F60" s="163"/>
      <x:c r="G60" s="163"/>
      <x:c r="H60" s="163"/>
      <x:c r="I60" s="163"/>
      <x:c r="J60" s="163"/>
      <x:c r="K60" s="163"/>
      <x:c r="L60" s="163"/>
      <x:c r="M60" s="163"/>
      <x:c r="N60" s="163"/>
      <x:c r="O60" s="163"/>
      <x:c r="P60" s="163"/>
      <x:c r="Q60" s="163"/>
      <x:c r="R60" s="163"/>
      <x:c r="S60" s="163"/>
      <x:c r="T60" s="163"/>
      <x:c r="U60" s="163"/>
    </x:row>
    <x:row r="61">
      <x:c r="A61" s="117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7"/>
      <x:c r="N61" s="117"/>
      <x:c r="O61" s="117"/>
      <x:c r="P61" s="117"/>
      <x:c r="Q61" s="117"/>
      <x:c r="R61" s="117"/>
      <x:c r="S61" s="117"/>
      <x:c r="T61" s="117"/>
      <x:c r="U61" s="117"/>
    </x:row>
    <x:row r="62">
      <x:c r="A62" s="117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7"/>
      <x:c r="N62" s="117"/>
      <x:c r="O62" s="117"/>
      <x:c r="P62" s="117"/>
      <x:c r="Q62" s="117"/>
      <x:c r="R62" s="117"/>
      <x:c r="S62" s="117"/>
      <x:c r="T62" s="117"/>
      <x:c r="U62" s="117"/>
    </x:row>
    <x:row r="63">
      <x:c r="A63" s="117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7"/>
      <x:c r="N63" s="117"/>
      <x:c r="O63" s="117"/>
      <x:c r="P63" s="117"/>
      <x:c r="Q63" s="117"/>
      <x:c r="R63" s="117"/>
      <x:c r="S63" s="117"/>
      <x:c r="T63" s="117"/>
      <x:c r="U63" s="117"/>
    </x:row>
    <x:row r="64">
      <x:c r="A64" s="117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  <x:c r="O64" s="117"/>
      <x:c r="P64" s="117"/>
      <x:c r="Q64" s="117"/>
      <x:c r="R64" s="117"/>
      <x:c r="S64" s="117"/>
      <x:c r="T64" s="117"/>
      <x:c r="U64" s="117"/>
    </x:row>
    <x:row r="65">
      <x:c r="A65" s="117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  <x:c r="O65" s="117"/>
      <x:c r="P65" s="117"/>
      <x:c r="Q65" s="117"/>
      <x:c r="R65" s="117"/>
      <x:c r="S65" s="117"/>
      <x:c r="T65" s="117"/>
      <x:c r="U65" s="117"/>
    </x:row>
    <x:row r="66">
      <x:c r="A66" s="117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  <x:c r="O66" s="117"/>
      <x:c r="P66" s="117"/>
      <x:c r="Q66" s="117"/>
      <x:c r="R66" s="117"/>
      <x:c r="S66" s="117"/>
      <x:c r="T66" s="117"/>
      <x:c r="U66" s="117"/>
    </x:row>
    <x:row r="67">
      <x:c r="A67" s="117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  <x:c r="O67" s="117"/>
      <x:c r="P67" s="117"/>
      <x:c r="Q67" s="117"/>
      <x:c r="R67" s="117"/>
      <x:c r="S67" s="117"/>
      <x:c r="T67" s="117"/>
      <x:c r="U67" s="117"/>
    </x:row>
    <x:row r="68">
      <x:c r="A68" s="117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  <x:c r="O68" s="117"/>
      <x:c r="P68" s="117"/>
      <x:c r="Q68" s="117"/>
      <x:c r="R68" s="117"/>
      <x:c r="S68" s="117"/>
      <x:c r="T68" s="117"/>
      <x:c r="U68" s="117"/>
    </x:row>
    <x:row r="69">
      <x:c r="A69" s="117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  <x:c r="O69" s="117"/>
      <x:c r="P69" s="117"/>
      <x:c r="Q69" s="117"/>
      <x:c r="R69" s="117"/>
      <x:c r="S69" s="117"/>
      <x:c r="T69" s="117"/>
      <x:c r="U69" s="117"/>
    </x:row>
    <x:row r="70">
      <x:c r="A70" s="117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  <x:c r="O70" s="117"/>
      <x:c r="P70" s="117"/>
      <x:c r="Q70" s="117"/>
      <x:c r="R70" s="117"/>
      <x:c r="S70" s="117"/>
      <x:c r="T70" s="117"/>
      <x:c r="U70" s="117"/>
    </x:row>
  </x:sheetData>
  <x:mergeCells>
    <x:mergeCell ref="A1:U1"/>
    <x:mergeCell ref="A4:U4"/>
    <x:mergeCell ref="A17:U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6" max="6" width="48" hidden="0" customWidth="1"/>
  </x:cols>
  <x:sheetData>
    <x:row r="1" ht="26" customHeight="1">
      <x:c r="A1" s="196" t="str">
        <x:v>LibertyPass — 2046E Scenario Sensitivity</x:v>
      </x:c>
      <x:c r="B1" s="196"/>
      <x:c r="C1" s="196"/>
      <x:c r="D1" s="196"/>
      <x:c r="E1" s="196"/>
      <x:c r="F1" s="196"/>
      <x:c r="G1" s="196"/>
      <x:c r="H1" s="196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110"/>
      <x:c r="B2" s="110"/>
      <x:c r="C2" s="110"/>
      <x:c r="D2" s="110"/>
      <x:c r="E2" s="110"/>
      <x:c r="F2" s="110"/>
      <x:c r="G2" s="110"/>
      <x:c r="H2" s="110"/>
    </x:row>
    <x:row r="3">
      <x:c r="A3" s="197" t="str">
        <x:v>Scenario</x:v>
      </x:c>
      <x:c r="B3" s="197" t="str">
        <x:v>Member scale vs. base</x:v>
      </x:c>
      <x:c r="C3" s="197" t="str">
        <x:v>Data ACV vs. base</x:v>
      </x:c>
      <x:c r="D3" s="197" t="str">
        <x:v>Ad CPM vs. base</x:v>
      </x:c>
      <x:c r="E3" s="197" t="str">
        <x:v>Operating cost vs. base</x:v>
      </x:c>
      <x:c r="F3" s="197" t="str">
        <x:v>Description</x:v>
      </x:c>
      <x:c r="G3" s="110"/>
      <x:c r="H3" s="110"/>
    </x:row>
    <x:row r="4">
      <x:c r="A4" s="110" t="str">
        <x:v>Conservative</x:v>
      </x:c>
      <x:c r="B4" s="198" t="n">
        <x:v>0.7</x:v>
      </x:c>
      <x:c r="C4" s="198" t="n">
        <x:v>0.7</x:v>
      </x:c>
      <x:c r="D4" s="198" t="n">
        <x:v>0.8</x:v>
      </x:c>
      <x:c r="E4" s="198" t="n">
        <x:v>1.15</x:v>
      </x:c>
      <x:c r="F4" s="110" t="str">
        <x:v>Slower consumer adoption, lower data pricing, higher operating intensity</x:v>
      </x:c>
      <x:c r="G4" s="110"/>
      <x:c r="H4" s="110"/>
    </x:row>
    <x:row r="5">
      <x:c r="A5" s="110" t="str">
        <x:v>Base</x:v>
      </x:c>
      <x:c r="B5" s="198" t="n">
        <x:v>1</x:v>
      </x:c>
      <x:c r="C5" s="198" t="n">
        <x:v>1</x:v>
      </x:c>
      <x:c r="D5" s="198" t="n">
        <x:v>1</x:v>
      </x:c>
      <x:c r="E5" s="198" t="n">
        <x:v>1</x:v>
      </x:c>
      <x:c r="F5" s="110" t="str">
        <x:v>20-year management case shown throughout workbook</x:v>
      </x:c>
      <x:c r="G5" s="110"/>
      <x:c r="H5" s="110"/>
    </x:row>
    <x:row r="6">
      <x:c r="A6" s="110" t="str">
        <x:v>Upside</x:v>
      </x:c>
      <x:c r="B6" s="198" t="n">
        <x:v>1.3</x:v>
      </x:c>
      <x:c r="C6" s="198" t="n">
        <x:v>1.4</x:v>
      </x:c>
      <x:c r="D6" s="198" t="n">
        <x:v>1.2</x:v>
      </x:c>
      <x:c r="E6" s="198" t="n">
        <x:v>0.9</x:v>
      </x:c>
      <x:c r="F6" s="110" t="str">
        <x:v>Faster global penetration + premium data pricing + stronger scale efficiencies</x:v>
      </x:c>
      <x:c r="G6" s="110"/>
      <x:c r="H6" s="110"/>
    </x:row>
    <x:row r="7">
      <x:c r="A7" s="110"/>
      <x:c r="B7" s="110"/>
      <x:c r="C7" s="110"/>
      <x:c r="D7" s="110"/>
      <x:c r="E7" s="110"/>
      <x:c r="F7" s="110"/>
      <x:c r="G7" s="110"/>
      <x:c r="H7" s="110"/>
    </x:row>
    <x:row r="8" ht="20" customHeight="1">
      <x:c r="A8" s="199" t="str">
        <x:v>2046E Output Sensitivity</x:v>
      </x:c>
      <x:c r="B8" s="199"/>
      <x:c r="C8" s="199"/>
      <x:c r="D8" s="199"/>
      <x:c r="E8" s="199"/>
      <x:c r="F8" s="199"/>
      <x:c r="G8" s="199"/>
      <x:c r="H8" s="199"/>
    </x:row>
    <x:row r="9">
      <x:c r="A9" s="200" t="str">
        <x:v>Scenario</x:v>
      </x:c>
      <x:c r="B9" s="200" t="str">
        <x:v>Membership rev</x:v>
      </x:c>
      <x:c r="C9" s="200" t="str">
        <x:v>Financial data</x:v>
      </x:c>
      <x:c r="D9" s="200" t="str">
        <x:v>Biotech</x:v>
      </x:c>
      <x:c r="E9" s="200" t="str">
        <x:v>Government</x:v>
      </x:c>
      <x:c r="F9" s="200" t="str">
        <x:v>Advertising</x:v>
      </x:c>
      <x:c r="G9" s="200" t="str">
        <x:v>Total revenue</x:v>
      </x:c>
      <x:c r="H9" s="200" t="str">
        <x:v>Approx. EBITDA</x:v>
      </x:c>
    </x:row>
    <x:row r="10">
      <x:c r="A10" s="201" t="str">
        <x:f>A4</x:f>
        <x:v>Conservative</x:v>
      </x:c>
      <x:c r="B10" s="202" t="n">
        <x:f>'Revenue Build'!U6*B4</x:f>
        <x:v>288.18554067437964</x:v>
      </x:c>
      <x:c r="C10" s="202" t="n">
        <x:f>'Revenue Build'!U11*C4</x:f>
        <x:v>713.5721388040521</x:v>
      </x:c>
      <x:c r="D10" s="202" t="n">
        <x:f>'Revenue Build'!U16*C4</x:f>
        <x:v>749.2507457442546</x:v>
      </x:c>
      <x:c r="E10" s="202" t="n">
        <x:f>'Revenue Build'!U22*C4</x:f>
        <x:v>655.5944025262228</x:v>
      </x:c>
      <x:c r="F10" s="202" t="n">
        <x:f>'Revenue Build'!U27*B4*D4</x:f>
        <x:v>61.81579847465445</x:v>
      </x:c>
      <x:c r="G10" s="202" t="n">
        <x:f>SUM(B10:F10)</x:f>
        <x:v>2468.4186262235635</x:v>
      </x:c>
      <x:c r="H10" s="202" t="n">
        <x:f>G10-'Cost &amp; Headcount'!U30*E4-'Cost &amp; Headcount'!U42*E4</x:f>
        <x:v>-137.36069000881776</x:v>
      </x:c>
    </x:row>
    <x:row r="11">
      <x:c r="A11" s="201" t="str">
        <x:f>A5</x:f>
        <x:v>Base</x:v>
      </x:c>
      <x:c r="B11" s="202" t="n">
        <x:f>'Revenue Build'!U6*B5</x:f>
        <x:v>411.6936295348281</x:v>
      </x:c>
      <x:c r="C11" s="202" t="n">
        <x:f>'Revenue Build'!U11*C5</x:f>
        <x:v>1019.3887697200745</x:v>
      </x:c>
      <x:c r="D11" s="202" t="n">
        <x:f>'Revenue Build'!U16*C5</x:f>
        <x:v>1070.358208206078</x:v>
      </x:c>
      <x:c r="E11" s="202" t="n">
        <x:f>'Revenue Build'!U22*C5</x:f>
        <x:v>936.5634321803183</x:v>
      </x:c>
      <x:c r="F11" s="202" t="n">
        <x:f>'Revenue Build'!U27*B5*D5</x:f>
        <x:v>110.3853544190258</x:v>
      </x:c>
      <x:c r="G11" s="202" t="n">
        <x:f>SUM(B11:F11)</x:f>
        <x:v>3548.3893940603243</x:v>
      </x:c>
      <x:c r="H11" s="202" t="n">
        <x:f>G11-'Cost &amp; Headcount'!U30*E5-'Cost &amp; Headcount'!U42*E5</x:f>
        <x:v>1282.4943364669493</x:v>
      </x:c>
    </x:row>
    <x:row r="12">
      <x:c r="A12" s="201" t="str">
        <x:f>A6</x:f>
        <x:v>Upside</x:v>
      </x:c>
      <x:c r="B12" s="202" t="n">
        <x:f>'Revenue Build'!U6*B6</x:f>
        <x:v>535.2017183952765</x:v>
      </x:c>
      <x:c r="C12" s="202" t="n">
        <x:f>'Revenue Build'!U11*C6</x:f>
        <x:v>1427.1442776081042</x:v>
      </x:c>
      <x:c r="D12" s="202" t="n">
        <x:f>'Revenue Build'!U16*C6</x:f>
        <x:v>1498.5014914885091</x:v>
      </x:c>
      <x:c r="E12" s="202" t="n">
        <x:f>'Revenue Build'!U22*C6</x:f>
        <x:v>1311.1888050524456</x:v>
      </x:c>
      <x:c r="F12" s="202" t="n">
        <x:f>'Revenue Build'!U27*B6*D6</x:f>
        <x:v>172.20115289368027</x:v>
      </x:c>
      <x:c r="G12" s="202" t="n">
        <x:f>SUM(B12:F12)</x:f>
        <x:v>4944.237445438015</x:v>
      </x:c>
      <x:c r="H12" s="202" t="n">
        <x:f>G12-'Cost &amp; Headcount'!U30*E6-'Cost &amp; Headcount'!U42*E6</x:f>
        <x:v>2904.931893603977</x:v>
      </x:c>
    </x:row>
    <x:row r="13">
      <x:c r="A13" s="110"/>
      <x:c r="B13" s="110"/>
      <x:c r="C13" s="110"/>
      <x:c r="D13" s="110"/>
      <x:c r="E13" s="110"/>
      <x:c r="F13" s="110"/>
      <x:c r="G13" s="110"/>
      <x:c r="H13" s="110"/>
    </x:row>
    <x:row r="14">
      <x:c r="A14" s="12" t="str">
        <x:v>Scenario EBITDA is intentionally approximate: it scales the 2046 base direct-cost and operating-expense structure rather than re-running a full 20-year scenario. Use the Assumptions sheet to re-underwrite the full base case.</x:v>
      </x:c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10"/>
      <x:c r="B17" s="110"/>
      <x:c r="C17" s="110"/>
      <x:c r="D17" s="110"/>
      <x:c r="E17" s="110"/>
      <x:c r="F17" s="110"/>
      <x:c r="G17" s="110"/>
      <x:c r="H17" s="110"/>
    </x:row>
    <x:row r="18">
      <x:c r="A18" s="110"/>
      <x:c r="B18" s="110"/>
      <x:c r="C18" s="110"/>
      <x:c r="D18" s="110"/>
      <x:c r="E18" s="110"/>
      <x:c r="F18" s="110"/>
      <x:c r="G18" s="110"/>
      <x:c r="H18" s="110"/>
    </x:row>
    <x:row r="19">
      <x:c r="A19" s="110"/>
      <x:c r="B19" s="110"/>
      <x:c r="C19" s="110"/>
      <x:c r="D19" s="110"/>
      <x:c r="E19" s="110"/>
      <x:c r="F19" s="110"/>
      <x:c r="G19" s="110"/>
      <x:c r="H19" s="110"/>
    </x:row>
    <x:row r="20">
      <x:c r="A20" s="110"/>
      <x:c r="B20" s="110"/>
      <x:c r="C20" s="110"/>
      <x:c r="D20" s="110"/>
      <x:c r="E20" s="110"/>
      <x:c r="F20" s="110"/>
      <x:c r="G20" s="110"/>
      <x:c r="H20" s="110"/>
    </x:row>
  </x:sheetData>
  <x:mergeCells>
    <x:mergeCell ref="A1:U1"/>
    <x:mergeCell ref="A8:H8"/>
    <x:mergeCell ref="A14:H16"/>
  </x:mergeCells>
  <x:pageMargins left="0.7" right="0.7" top="0.75" bottom="0.75" header="0.3" footer="0.3"/>
</x:worksheet>
</file>